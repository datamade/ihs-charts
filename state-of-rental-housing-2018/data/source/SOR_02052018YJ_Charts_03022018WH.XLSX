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Local\State of Rental\2018\"/>
    </mc:Choice>
  </mc:AlternateContent>
  <bookViews>
    <workbookView xWindow="0" yWindow="0" windowWidth="28800" windowHeight="12300"/>
  </bookViews>
  <sheets>
    <sheet name="IHS_SOR_2017" sheetId="1" r:id="rId1"/>
    <sheet name="ChartsWork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4" i="1" l="1"/>
  <c r="E103" i="1"/>
  <c r="E102" i="1"/>
  <c r="E101" i="1"/>
  <c r="E100" i="1"/>
</calcChain>
</file>

<file path=xl/sharedStrings.xml><?xml version="1.0" encoding="utf-8"?>
<sst xmlns="http://schemas.openxmlformats.org/spreadsheetml/2006/main" count="219" uniqueCount="103">
  <si>
    <t>Renter-Occupied</t>
  </si>
  <si>
    <t>Owner-Occupied</t>
  </si>
  <si>
    <t>Rental Rate</t>
  </si>
  <si>
    <t>&lt;30% AMI</t>
  </si>
  <si>
    <t>30-50% AMI</t>
  </si>
  <si>
    <t>50 to 80% AMI</t>
  </si>
  <si>
    <t>80 to 120% AMI</t>
  </si>
  <si>
    <t>Age</t>
  </si>
  <si>
    <t>15-24</t>
  </si>
  <si>
    <t>25-34</t>
  </si>
  <si>
    <t>35-44</t>
  </si>
  <si>
    <t>45-54</t>
  </si>
  <si>
    <t>55-64</t>
  </si>
  <si>
    <t>65-74</t>
  </si>
  <si>
    <t>75+</t>
  </si>
  <si>
    <t>Total</t>
  </si>
  <si>
    <t>Single-Unit</t>
  </si>
  <si>
    <t>2-to-4 Unit</t>
  </si>
  <si>
    <t>5-to-49 Unit</t>
  </si>
  <si>
    <t>50+ Units</t>
  </si>
  <si>
    <t>120 to 200% AMI</t>
  </si>
  <si>
    <t>Greater than 200% AMI</t>
  </si>
  <si>
    <t>Not Rent-Burdened</t>
  </si>
  <si>
    <t>30-50% Income Spent on Rent</t>
  </si>
  <si>
    <t>More than 50% Income Spent on Rent</t>
  </si>
  <si>
    <t>Affordable Supply</t>
  </si>
  <si>
    <t>Affordable Demand</t>
  </si>
  <si>
    <t>Gap</t>
  </si>
  <si>
    <t>Share Demand Unmet by Supply</t>
  </si>
  <si>
    <t>Affordability Gap</t>
  </si>
  <si>
    <t>Palatine/Barrington</t>
  </si>
  <si>
    <t>Melrose Park/Maywood</t>
  </si>
  <si>
    <t>Oak Park/Cicero</t>
  </si>
  <si>
    <t>LaGrange/Burbank</t>
  </si>
  <si>
    <t>Orland Park/Lemont</t>
  </si>
  <si>
    <t>Oak Lawn/Blue Island</t>
  </si>
  <si>
    <t>Oak Forest/Country Club Hills</t>
  </si>
  <si>
    <t>Calumet City/Harvey</t>
  </si>
  <si>
    <t>Chicago Heights/Park Forest</t>
  </si>
  <si>
    <t>Arlington Heights/Wheeling</t>
  </si>
  <si>
    <t>Winnetka/Northbrook</t>
  </si>
  <si>
    <t>Hoffman Estates/Streamwood</t>
  </si>
  <si>
    <t>Schaumburg</t>
  </si>
  <si>
    <t>Mount Prospect/Elk Grove Village</t>
  </si>
  <si>
    <t>Park Ridge/Des Plaines</t>
  </si>
  <si>
    <t>Evanston/Skokie</t>
  </si>
  <si>
    <t>Elmwood Park/Franklin Park</t>
  </si>
  <si>
    <t>Chicago--Uptown/Rogers Park</t>
  </si>
  <si>
    <t>Chicago--Lake View/Lincoln Park</t>
  </si>
  <si>
    <t>Chicago--Lincoln Square/North Center</t>
  </si>
  <si>
    <t>Chicago--Irving Park/Albany Park</t>
  </si>
  <si>
    <t>Chicago--Portage Park/Jefferson Park</t>
  </si>
  <si>
    <t>Chicago--Austin/Belmont Cragin</t>
  </si>
  <si>
    <t>Chicago--Logan Square/Avondale</t>
  </si>
  <si>
    <t>Chicago--Humboldt Park/Garfield Park</t>
  </si>
  <si>
    <t>Chicago--West Town/Near West Side</t>
  </si>
  <si>
    <t>Chicago--Bridgeport/Brighton Park</t>
  </si>
  <si>
    <t>Chicago--Gage Park/West Lawn</t>
  </si>
  <si>
    <t>Chicago--Englewood/Greater Grand Crossing</t>
  </si>
  <si>
    <t>Chicago--Bronzeville/Hyde Park</t>
  </si>
  <si>
    <t>Chicago--Beverly/Morgan Park</t>
  </si>
  <si>
    <t>Chicago--Auburn Gresham/Chatham</t>
  </si>
  <si>
    <t>Chicago--South Chicago/West Pullman</t>
  </si>
  <si>
    <t>Sub Market</t>
  </si>
  <si>
    <t>PUMA Number</t>
  </si>
  <si>
    <t>Chicago--Loop and Surrounding</t>
  </si>
  <si>
    <t>Data for "Cook County's rental rate is at its highest level since 1990" charts</t>
  </si>
  <si>
    <t>Data for "The number of higher-income renters in Cook County continues to increase" charts</t>
  </si>
  <si>
    <t>Data for "Growth in young renters slows" charts</t>
  </si>
  <si>
    <t>Data for "As the economy improves, rental housing affordability is an increasing challenge" chart</t>
  </si>
  <si>
    <t>Data for 2018 IHS State of Rental Housing in Cook County Report</t>
  </si>
  <si>
    <t>Change in Households that are Renter or Owner-Occupied in Cook County, 1990, 2000, 2005-2016</t>
  </si>
  <si>
    <t>Source: US2010 Project at Brown University, Decennial Census 2000, American Community Survey PUMS Data 1-Year, 2005-2016</t>
  </si>
  <si>
    <t>Composition of Renter-Occupied Households by Income in Cook County, 2007, 2012-2016</t>
  </si>
  <si>
    <t>Source: American Community Survey PUMS Data 1-Year, 2007, 2012-2016</t>
  </si>
  <si>
    <t>Cook County Households that are Renters by Age of Householder, 2007, 2012-2016</t>
  </si>
  <si>
    <t>Change in Rental Supply by Building Type in Cook County, 2007, 2012-2016</t>
  </si>
  <si>
    <t>Change 2013 to 2016</t>
  </si>
  <si>
    <t>% Change 2013 to 2016</t>
  </si>
  <si>
    <t>Cook County Affordability, 2007, 2012-2016</t>
  </si>
  <si>
    <t>Cook County Renter-Occupied Households and Rent Burden, 2007, 2012-2016</t>
  </si>
  <si>
    <t>Annual Composition of Renter Households by Income Level (Values copied)</t>
  </si>
  <si>
    <t>Distribution of Rental Supply by Building Size (Values copied)</t>
  </si>
  <si>
    <t>blank 1</t>
  </si>
  <si>
    <t>blank 2</t>
  </si>
  <si>
    <t>Greater than 120% AMI</t>
  </si>
  <si>
    <t>Year</t>
  </si>
  <si>
    <t>Source: ACS PUMS Data 1-Year, 2012-2016</t>
  </si>
  <si>
    <t>Cook County Mean Rental Affordability Calculations, 2014-2016</t>
  </si>
  <si>
    <t>Source: American Community Survey PUMS Data 1-Year, 2014-2016</t>
  </si>
  <si>
    <t>City of Chicago* Affordability, 2012-2016</t>
  </si>
  <si>
    <t>Suburban Cook* Affordability, 2012-2016</t>
  </si>
  <si>
    <r>
      <t>Data for Map "</t>
    </r>
    <r>
      <rPr>
        <sz val="11"/>
        <rFont val="Calibri"/>
        <family val="2"/>
        <scheme val="minor"/>
      </rPr>
      <t>The affordability gap is highest in areas with high concentrations of low income households</t>
    </r>
    <r>
      <rPr>
        <sz val="11"/>
        <color theme="1"/>
        <rFont val="Calibri"/>
        <family val="2"/>
        <scheme val="minor"/>
      </rPr>
      <t>"</t>
    </r>
  </si>
  <si>
    <r>
      <t>Data for "</t>
    </r>
    <r>
      <rPr>
        <sz val="11"/>
        <rFont val="Calibri"/>
        <family val="2"/>
        <scheme val="minor"/>
      </rPr>
      <t>Growing number of low-income households are extremely rent-burdened</t>
    </r>
    <r>
      <rPr>
        <sz val="11"/>
        <color theme="1"/>
        <rFont val="Calibri"/>
        <family val="2"/>
        <scheme val="minor"/>
      </rPr>
      <t>" charts</t>
    </r>
  </si>
  <si>
    <r>
      <t>Data for "</t>
    </r>
    <r>
      <rPr>
        <sz val="11"/>
        <rFont val="Calibri"/>
        <family val="2"/>
        <scheme val="minor"/>
      </rPr>
      <t>As the economy improves, rental housing affordability is an increasing challenge</t>
    </r>
    <r>
      <rPr>
        <sz val="11"/>
        <color theme="1"/>
        <rFont val="Calibri"/>
        <family val="2"/>
        <scheme val="minor"/>
      </rPr>
      <t>" chart</t>
    </r>
  </si>
  <si>
    <r>
      <t>Data for "</t>
    </r>
    <r>
      <rPr>
        <sz val="11"/>
        <rFont val="Calibri"/>
        <family val="2"/>
        <scheme val="minor"/>
      </rPr>
      <t>Cook County’s stock of rental units in two to four unit buildings is declining</t>
    </r>
    <r>
      <rPr>
        <sz val="11"/>
        <color theme="1"/>
        <rFont val="Calibri"/>
        <family val="2"/>
        <scheme val="minor"/>
      </rPr>
      <t>" chart</t>
    </r>
  </si>
  <si>
    <r>
      <t>Data for "</t>
    </r>
    <r>
      <rPr>
        <sz val="11"/>
        <rFont val="Calibri"/>
        <family val="2"/>
        <scheme val="minor"/>
      </rPr>
      <t>Growth in young renters slows</t>
    </r>
    <r>
      <rPr>
        <sz val="11"/>
        <color theme="1"/>
        <rFont val="Calibri"/>
        <family val="2"/>
        <scheme val="minor"/>
      </rPr>
      <t>" charts</t>
    </r>
  </si>
  <si>
    <r>
      <t>Data for "</t>
    </r>
    <r>
      <rPr>
        <sz val="11"/>
        <rFont val="Calibri"/>
        <family val="2"/>
        <scheme val="minor"/>
      </rPr>
      <t>The number of higher-income renters in Cook County continues to increase</t>
    </r>
    <r>
      <rPr>
        <sz val="11"/>
        <color theme="1"/>
        <rFont val="Calibri"/>
        <family val="2"/>
        <scheme val="minor"/>
      </rPr>
      <t>" charts</t>
    </r>
  </si>
  <si>
    <r>
      <t>Data for "</t>
    </r>
    <r>
      <rPr>
        <sz val="11"/>
        <rFont val="Calibri"/>
        <family val="2"/>
        <scheme val="minor"/>
      </rPr>
      <t>Cook County's rental rate is at its highest level since 1990</t>
    </r>
    <r>
      <rPr>
        <sz val="11"/>
        <color theme="1"/>
        <rFont val="Calibri"/>
        <family val="2"/>
        <scheme val="minor"/>
      </rPr>
      <t>" charts</t>
    </r>
  </si>
  <si>
    <t xml:space="preserve">*Three City of Chicago Community Areas are within Suburban PUMAs; O'Hare in Elmwood Park/Franklin Park, and Edison Park and Norwood Park in Park Ridge/Des Plaines.  </t>
  </si>
  <si>
    <t>Rent Burden</t>
  </si>
  <si>
    <t>Suburban Cook Affordability, 2012-2016</t>
  </si>
  <si>
    <t>City of Chicago Affordability, 2012-2016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</si>
</sst>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%"/>
    <numFmt numFmtId="165" formatCode="###0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9" fillId="0" borderId="0"/>
  </cellStyleXfs>
  <cellXfs count="171">
    <xf numFmtId="0" fontId="0" fillId="0" borderId="0" xfId="0"/>
    <xf numFmtId="0" fontId="0" fillId="0" borderId="8" xfId="0" applyBorder="1"/>
    <xf numFmtId="0" fontId="0" fillId="0" borderId="11" xfId="0" applyBorder="1"/>
    <xf numFmtId="0" fontId="0" fillId="0" borderId="11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0" xfId="0" applyFont="1"/>
    <xf numFmtId="0" fontId="0" fillId="0" borderId="0" xfId="0" applyFont="1" applyBorder="1"/>
    <xf numFmtId="3" fontId="0" fillId="0" borderId="0" xfId="0" applyNumberFormat="1" applyFont="1" applyBorder="1"/>
    <xf numFmtId="164" fontId="0" fillId="0" borderId="0" xfId="0" applyNumberFormat="1" applyFont="1" applyBorder="1"/>
    <xf numFmtId="165" fontId="4" fillId="0" borderId="0" xfId="1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17" xfId="0" applyFont="1" applyBorder="1"/>
    <xf numFmtId="0" fontId="0" fillId="0" borderId="0" xfId="0" applyFont="1" applyFill="1" applyBorder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37" fontId="0" fillId="0" borderId="1" xfId="2" applyNumberFormat="1" applyFont="1" applyBorder="1" applyAlignment="1">
      <alignment horizontal="center"/>
    </xf>
    <xf numFmtId="37" fontId="0" fillId="0" borderId="9" xfId="2" applyNumberFormat="1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3" fontId="0" fillId="0" borderId="2" xfId="0" applyNumberFormat="1" applyFont="1" applyBorder="1" applyAlignment="1">
      <alignment horizontal="center"/>
    </xf>
    <xf numFmtId="3" fontId="0" fillId="0" borderId="12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3" fontId="0" fillId="0" borderId="3" xfId="0" applyNumberFormat="1" applyFont="1" applyBorder="1" applyAlignment="1">
      <alignment horizontal="center"/>
    </xf>
    <xf numFmtId="3" fontId="3" fillId="0" borderId="9" xfId="1" applyNumberFormat="1" applyFont="1" applyBorder="1" applyAlignment="1">
      <alignment horizontal="center" vertical="center"/>
    </xf>
    <xf numFmtId="3" fontId="3" fillId="0" borderId="10" xfId="1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left"/>
    </xf>
    <xf numFmtId="3" fontId="0" fillId="0" borderId="5" xfId="0" applyNumberFormat="1" applyFont="1" applyBorder="1" applyAlignment="1">
      <alignment horizontal="center"/>
    </xf>
    <xf numFmtId="3" fontId="0" fillId="0" borderId="9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Font="1" applyBorder="1" applyAlignment="1">
      <alignment horizontal="center"/>
    </xf>
    <xf numFmtId="3" fontId="0" fillId="0" borderId="7" xfId="0" applyNumberFormat="1" applyFont="1" applyBorder="1" applyAlignment="1">
      <alignment horizontal="center"/>
    </xf>
    <xf numFmtId="3" fontId="0" fillId="0" borderId="25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9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0" fontId="0" fillId="0" borderId="28" xfId="0" applyFont="1" applyBorder="1" applyAlignment="1">
      <alignment horizontal="center"/>
    </xf>
    <xf numFmtId="3" fontId="0" fillId="0" borderId="29" xfId="0" applyNumberFormat="1" applyFont="1" applyBorder="1" applyAlignment="1">
      <alignment horizontal="center"/>
    </xf>
    <xf numFmtId="3" fontId="0" fillId="0" borderId="29" xfId="0" applyNumberFormat="1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164" fontId="0" fillId="0" borderId="12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0" fillId="0" borderId="0" xfId="0" applyNumberFormat="1" applyFont="1" applyBorder="1" applyAlignment="1">
      <alignment horizontal="center"/>
    </xf>
    <xf numFmtId="3" fontId="0" fillId="0" borderId="0" xfId="0" applyNumberFormat="1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6" fillId="0" borderId="0" xfId="0" applyFont="1" applyAlignment="1"/>
    <xf numFmtId="0" fontId="7" fillId="0" borderId="0" xfId="3"/>
    <xf numFmtId="0" fontId="0" fillId="0" borderId="34" xfId="0" applyFont="1" applyBorder="1" applyAlignment="1">
      <alignment horizontal="center"/>
    </xf>
    <xf numFmtId="3" fontId="0" fillId="0" borderId="25" xfId="0" applyNumberFormat="1" applyFont="1" applyFill="1" applyBorder="1" applyAlignment="1">
      <alignment horizontal="center"/>
    </xf>
    <xf numFmtId="3" fontId="0" fillId="0" borderId="16" xfId="0" applyNumberFormat="1" applyFont="1" applyFill="1" applyBorder="1" applyAlignment="1">
      <alignment horizontal="center"/>
    </xf>
    <xf numFmtId="0" fontId="0" fillId="0" borderId="35" xfId="0" applyFont="1" applyBorder="1"/>
    <xf numFmtId="0" fontId="0" fillId="0" borderId="36" xfId="0" applyFont="1" applyBorder="1"/>
    <xf numFmtId="0" fontId="0" fillId="0" borderId="36" xfId="0" applyFont="1" applyFill="1" applyBorder="1"/>
    <xf numFmtId="0" fontId="0" fillId="0" borderId="37" xfId="0" applyFont="1" applyFill="1" applyBorder="1"/>
    <xf numFmtId="0" fontId="0" fillId="0" borderId="17" xfId="0" applyBorder="1"/>
    <xf numFmtId="3" fontId="0" fillId="0" borderId="19" xfId="0" applyNumberFormat="1" applyBorder="1" applyAlignment="1">
      <alignment horizontal="center"/>
    </xf>
    <xf numFmtId="3" fontId="0" fillId="0" borderId="20" xfId="0" applyNumberFormat="1" applyBorder="1" applyAlignment="1">
      <alignment horizontal="center"/>
    </xf>
    <xf numFmtId="164" fontId="0" fillId="0" borderId="0" xfId="4" applyNumberFormat="1" applyFont="1"/>
    <xf numFmtId="0" fontId="0" fillId="0" borderId="17" xfId="0" applyFont="1" applyBorder="1" applyAlignment="1">
      <alignment horizontal="left"/>
    </xf>
    <xf numFmtId="3" fontId="0" fillId="0" borderId="19" xfId="0" applyNumberFormat="1" applyFont="1" applyBorder="1" applyAlignment="1">
      <alignment horizontal="center"/>
    </xf>
    <xf numFmtId="3" fontId="0" fillId="0" borderId="20" xfId="0" applyNumberFormat="1" applyFont="1" applyBorder="1" applyAlignment="1">
      <alignment horizontal="center"/>
    </xf>
    <xf numFmtId="0" fontId="0" fillId="0" borderId="40" xfId="0" applyFont="1" applyBorder="1"/>
    <xf numFmtId="0" fontId="0" fillId="0" borderId="42" xfId="0" applyFont="1" applyBorder="1" applyAlignment="1">
      <alignment horizontal="center"/>
    </xf>
    <xf numFmtId="37" fontId="0" fillId="0" borderId="2" xfId="2" applyNumberFormat="1" applyFont="1" applyBorder="1" applyAlignment="1">
      <alignment horizontal="center"/>
    </xf>
    <xf numFmtId="3" fontId="0" fillId="0" borderId="34" xfId="0" applyNumberFormat="1" applyFont="1" applyBorder="1" applyAlignment="1">
      <alignment horizontal="center"/>
    </xf>
    <xf numFmtId="3" fontId="0" fillId="0" borderId="16" xfId="0" applyNumberFormat="1" applyFont="1" applyBorder="1" applyAlignment="1">
      <alignment horizontal="center"/>
    </xf>
    <xf numFmtId="0" fontId="0" fillId="0" borderId="22" xfId="0" applyFont="1" applyBorder="1" applyAlignment="1"/>
    <xf numFmtId="0" fontId="0" fillId="0" borderId="24" xfId="0" applyFont="1" applyBorder="1" applyAlignment="1"/>
    <xf numFmtId="0" fontId="0" fillId="0" borderId="44" xfId="0" applyFont="1" applyBorder="1" applyAlignment="1">
      <alignment horizontal="center"/>
    </xf>
    <xf numFmtId="0" fontId="0" fillId="0" borderId="46" xfId="0" applyFont="1" applyBorder="1" applyAlignment="1">
      <alignment horizontal="center"/>
    </xf>
    <xf numFmtId="0" fontId="0" fillId="0" borderId="41" xfId="0" applyNumberFormat="1" applyFont="1" applyFill="1" applyBorder="1" applyAlignment="1">
      <alignment horizontal="center"/>
    </xf>
    <xf numFmtId="164" fontId="0" fillId="0" borderId="3" xfId="4" applyNumberFormat="1" applyFont="1" applyBorder="1" applyAlignment="1">
      <alignment horizontal="center"/>
    </xf>
    <xf numFmtId="166" fontId="0" fillId="0" borderId="0" xfId="0" applyNumberFormat="1" applyFont="1" applyBorder="1"/>
    <xf numFmtId="37" fontId="0" fillId="0" borderId="19" xfId="2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3" fontId="3" fillId="0" borderId="19" xfId="1" applyNumberFormat="1" applyFont="1" applyBorder="1" applyAlignment="1">
      <alignment horizontal="center" vertical="center"/>
    </xf>
    <xf numFmtId="3" fontId="3" fillId="0" borderId="20" xfId="1" applyNumberFormat="1" applyFont="1" applyBorder="1" applyAlignment="1">
      <alignment horizontal="center" vertical="center"/>
    </xf>
    <xf numFmtId="3" fontId="0" fillId="0" borderId="49" xfId="0" applyNumberFormat="1" applyFont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3" fontId="0" fillId="0" borderId="45" xfId="0" applyNumberFormat="1" applyFont="1" applyBorder="1" applyAlignment="1">
      <alignment horizontal="center"/>
    </xf>
    <xf numFmtId="3" fontId="0" fillId="0" borderId="50" xfId="0" applyNumberFormat="1" applyFont="1" applyBorder="1" applyAlignment="1">
      <alignment horizontal="center"/>
    </xf>
    <xf numFmtId="3" fontId="0" fillId="0" borderId="48" xfId="0" applyNumberFormat="1" applyFont="1" applyBorder="1" applyAlignment="1">
      <alignment horizontal="center"/>
    </xf>
    <xf numFmtId="3" fontId="0" fillId="0" borderId="6" xfId="0" applyNumberFormat="1" applyFont="1" applyBorder="1" applyAlignment="1">
      <alignment horizontal="center"/>
    </xf>
    <xf numFmtId="3" fontId="0" fillId="0" borderId="10" xfId="0" applyNumberFormat="1" applyFont="1" applyBorder="1" applyAlignment="1">
      <alignment horizontal="center"/>
    </xf>
    <xf numFmtId="164" fontId="0" fillId="0" borderId="0" xfId="4" applyNumberFormat="1" applyFont="1" applyBorder="1"/>
    <xf numFmtId="0" fontId="0" fillId="0" borderId="44" xfId="0" applyFont="1" applyFill="1" applyBorder="1" applyAlignment="1">
      <alignment horizontal="center"/>
    </xf>
    <xf numFmtId="3" fontId="0" fillId="0" borderId="0" xfId="0" applyNumberFormat="1" applyFont="1"/>
    <xf numFmtId="0" fontId="0" fillId="0" borderId="19" xfId="0" applyBorder="1"/>
    <xf numFmtId="0" fontId="0" fillId="0" borderId="41" xfId="0" applyBorder="1"/>
    <xf numFmtId="0" fontId="8" fillId="0" borderId="0" xfId="0" applyFont="1"/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4" xfId="5" applyFont="1" applyBorder="1"/>
    <xf numFmtId="0" fontId="2" fillId="0" borderId="40" xfId="5" applyFont="1" applyBorder="1"/>
    <xf numFmtId="0" fontId="2" fillId="0" borderId="51" xfId="5" applyFont="1" applyBorder="1"/>
    <xf numFmtId="0" fontId="2" fillId="0" borderId="14" xfId="5" applyFont="1" applyBorder="1"/>
    <xf numFmtId="0" fontId="2" fillId="0" borderId="15" xfId="5" applyFont="1" applyBorder="1"/>
    <xf numFmtId="0" fontId="0" fillId="0" borderId="23" xfId="0" applyBorder="1" applyAlignment="1">
      <alignment horizontal="left"/>
    </xf>
    <xf numFmtId="0" fontId="0" fillId="0" borderId="0" xfId="0" applyBorder="1"/>
    <xf numFmtId="0" fontId="0" fillId="0" borderId="0" xfId="0" applyFont="1" applyFill="1"/>
    <xf numFmtId="0" fontId="0" fillId="0" borderId="0" xfId="0" applyFill="1"/>
    <xf numFmtId="0" fontId="0" fillId="0" borderId="0" xfId="0" applyFont="1" applyFill="1" applyBorder="1" applyAlignment="1">
      <alignment horizontal="left"/>
    </xf>
    <xf numFmtId="37" fontId="2" fillId="0" borderId="0" xfId="2" applyNumberFormat="1" applyFont="1" applyBorder="1" applyAlignment="1">
      <alignment horizontal="center"/>
    </xf>
    <xf numFmtId="3" fontId="2" fillId="0" borderId="0" xfId="2" applyNumberFormat="1" applyFont="1" applyBorder="1" applyAlignment="1">
      <alignment horizontal="center"/>
    </xf>
    <xf numFmtId="3" fontId="2" fillId="0" borderId="52" xfId="2" applyNumberFormat="1" applyFont="1" applyBorder="1" applyAlignment="1">
      <alignment horizontal="center"/>
    </xf>
    <xf numFmtId="37" fontId="2" fillId="0" borderId="52" xfId="2" applyNumberFormat="1" applyFont="1" applyBorder="1" applyAlignment="1">
      <alignment horizontal="center"/>
    </xf>
    <xf numFmtId="0" fontId="0" fillId="0" borderId="0" xfId="0" applyFont="1" applyFill="1" applyBorder="1" applyAlignment="1">
      <alignment wrapText="1"/>
    </xf>
    <xf numFmtId="3" fontId="0" fillId="0" borderId="53" xfId="0" applyNumberFormat="1" applyFont="1" applyBorder="1" applyAlignment="1">
      <alignment horizontal="center"/>
    </xf>
    <xf numFmtId="3" fontId="0" fillId="0" borderId="26" xfId="0" applyNumberFormat="1" applyFont="1" applyBorder="1" applyAlignment="1">
      <alignment horizontal="center"/>
    </xf>
    <xf numFmtId="3" fontId="3" fillId="0" borderId="26" xfId="1" applyNumberFormat="1" applyFont="1" applyBorder="1" applyAlignment="1">
      <alignment horizontal="center" vertical="center"/>
    </xf>
    <xf numFmtId="3" fontId="3" fillId="0" borderId="21" xfId="1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51" xfId="0" applyFont="1" applyBorder="1"/>
    <xf numFmtId="0" fontId="0" fillId="0" borderId="54" xfId="0" applyFont="1" applyBorder="1" applyAlignment="1">
      <alignment horizontal="center"/>
    </xf>
    <xf numFmtId="0" fontId="0" fillId="0" borderId="0" xfId="0" applyFont="1" applyBorder="1" applyAlignment="1"/>
    <xf numFmtId="0" fontId="0" fillId="0" borderId="47" xfId="0" applyFont="1" applyBorder="1" applyAlignment="1">
      <alignment horizontal="center"/>
    </xf>
    <xf numFmtId="0" fontId="0" fillId="0" borderId="48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31" xfId="0" applyFont="1" applyBorder="1" applyAlignment="1">
      <alignment horizontal="left"/>
    </xf>
    <xf numFmtId="0" fontId="0" fillId="0" borderId="32" xfId="0" applyFont="1" applyBorder="1" applyAlignment="1">
      <alignment horizontal="left"/>
    </xf>
    <xf numFmtId="0" fontId="0" fillId="0" borderId="3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31" xfId="0" applyFont="1" applyFill="1" applyBorder="1" applyAlignment="1">
      <alignment horizontal="left"/>
    </xf>
    <xf numFmtId="0" fontId="0" fillId="0" borderId="32" xfId="0" applyFont="1" applyFill="1" applyBorder="1" applyAlignment="1">
      <alignment horizontal="left"/>
    </xf>
    <xf numFmtId="0" fontId="0" fillId="0" borderId="33" xfId="0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1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0" borderId="24" xfId="0" applyFont="1" applyBorder="1" applyAlignment="1">
      <alignment horizontal="left"/>
    </xf>
    <xf numFmtId="0" fontId="0" fillId="0" borderId="30" xfId="0" applyFont="1" applyBorder="1" applyAlignment="1">
      <alignment horizontal="left"/>
    </xf>
    <xf numFmtId="0" fontId="0" fillId="0" borderId="38" xfId="0" applyFont="1" applyBorder="1" applyAlignment="1">
      <alignment horizontal="left"/>
    </xf>
    <xf numFmtId="0" fontId="0" fillId="0" borderId="39" xfId="0" applyFont="1" applyBorder="1" applyAlignment="1">
      <alignment horizontal="left"/>
    </xf>
    <xf numFmtId="0" fontId="0" fillId="0" borderId="30" xfId="0" applyFont="1" applyFill="1" applyBorder="1" applyAlignment="1">
      <alignment horizontal="left"/>
    </xf>
    <xf numFmtId="0" fontId="0" fillId="0" borderId="38" xfId="0" applyFont="1" applyFill="1" applyBorder="1" applyAlignment="1">
      <alignment horizontal="left"/>
    </xf>
    <xf numFmtId="0" fontId="0" fillId="0" borderId="39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Font="1" applyFill="1" applyBorder="1" applyAlignment="1">
      <alignment horizontal="left" wrapTex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31" xfId="0" applyFont="1" applyBorder="1" applyAlignment="1">
      <alignment horizontal="center"/>
    </xf>
    <xf numFmtId="0" fontId="0" fillId="0" borderId="32" xfId="0" applyFont="1" applyBorder="1" applyAlignment="1">
      <alignment horizontal="center"/>
    </xf>
  </cellXfs>
  <cellStyles count="6">
    <cellStyle name="Comma" xfId="2" builtinId="3"/>
    <cellStyle name="Hyperlink" xfId="3" builtinId="8"/>
    <cellStyle name="Normal" xfId="0" builtinId="0"/>
    <cellStyle name="Normal 2" xfId="5"/>
    <cellStyle name="Normal_Rent_Income" xfId="1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Percentage of Renter-Occupied</a:t>
            </a:r>
            <a:r>
              <a:rPr lang="en-US" baseline="0"/>
              <a:t> Households</a:t>
            </a:r>
          </a:p>
          <a:p>
            <a:pPr>
              <a:defRPr/>
            </a:pPr>
            <a:r>
              <a:rPr lang="en-US" sz="1000" baseline="0"/>
              <a:t>Cook County - 1990 to 2016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Percent Renter-Occupied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12700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0" tIns="0" rIns="0" bIns="9144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effectLst>
                      <a:glow rad="88900">
                        <a:schemeClr val="bg1"/>
                      </a:glow>
                      <a:outerShdw sx="1000" sy="1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ChartsWorksheet!$B$13:$B$27</c15:sqref>
                  </c15:fullRef>
                </c:ext>
              </c:extLst>
              <c:f>ChartsWorksheet!$B$13:$B$26</c:f>
              <c:strCache>
                <c:ptCount val="14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Source: US2010 Project at Brown University, Decennial Census 2000, American Community Survey PUMS Data 1-Year, 2005-2016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ChartsWorksheet!$E$13:$E$26</c15:sqref>
                  </c15:fullRef>
                </c:ext>
              </c:extLst>
              <c:f>ChartsWorksheet!$E$13:$E$26</c:f>
              <c:numCache>
                <c:formatCode>0.0%</c:formatCode>
                <c:ptCount val="14"/>
                <c:pt idx="0">
                  <c:v>0.44500000000000001</c:v>
                </c:pt>
                <c:pt idx="1">
                  <c:v>0.42053104381283862</c:v>
                </c:pt>
                <c:pt idx="2">
                  <c:v>0.3834685110177628</c:v>
                </c:pt>
                <c:pt idx="3">
                  <c:v>0.38317282511712064</c:v>
                </c:pt>
                <c:pt idx="4">
                  <c:v>0.37657897652178102</c:v>
                </c:pt>
                <c:pt idx="5">
                  <c:v>0.38898491013029818</c:v>
                </c:pt>
                <c:pt idx="6">
                  <c:v>0.40683753691683822</c:v>
                </c:pt>
                <c:pt idx="7">
                  <c:v>0.41260577430825618</c:v>
                </c:pt>
                <c:pt idx="8">
                  <c:v>0.42117665225286699</c:v>
                </c:pt>
                <c:pt idx="9">
                  <c:v>0.42795070870314633</c:v>
                </c:pt>
                <c:pt idx="10">
                  <c:v>0.43567763789033725</c:v>
                </c:pt>
                <c:pt idx="11">
                  <c:v>0.43667152721234803</c:v>
                </c:pt>
                <c:pt idx="12">
                  <c:v>0.44209029793212018</c:v>
                </c:pt>
                <c:pt idx="13">
                  <c:v>0.439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F-4B5C-BF8B-924C1B428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793512"/>
        <c:axId val="5967925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ChartsWorksheet!$E$10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ChartsWorksheet!$B$13:$B$27</c15:sqref>
                        </c15:fullRef>
                        <c15:formulaRef>
                          <c15:sqref>ChartsWorksheet!$B$13:$B$26</c15:sqref>
                        </c15:formulaRef>
                      </c:ext>
                    </c:extLst>
                    <c:strCache>
                      <c:ptCount val="14"/>
                      <c:pt idx="0">
                        <c:v>1990</c:v>
                      </c:pt>
                      <c:pt idx="1">
                        <c:v>2000</c:v>
                      </c:pt>
                      <c:pt idx="2">
                        <c:v>2005</c:v>
                      </c:pt>
                      <c:pt idx="3">
                        <c:v>2006</c:v>
                      </c:pt>
                      <c:pt idx="4">
                        <c:v>2007</c:v>
                      </c:pt>
                      <c:pt idx="5">
                        <c:v>2008</c:v>
                      </c:pt>
                      <c:pt idx="6">
                        <c:v>2009</c:v>
                      </c:pt>
                      <c:pt idx="7">
                        <c:v>2010</c:v>
                      </c:pt>
                      <c:pt idx="8">
                        <c:v>2011</c:v>
                      </c:pt>
                      <c:pt idx="9">
                        <c:v>2012</c:v>
                      </c:pt>
                      <c:pt idx="10">
                        <c:v>2013</c:v>
                      </c:pt>
                      <c:pt idx="11">
                        <c:v>2014</c:v>
                      </c:pt>
                      <c:pt idx="12">
                        <c:v>2015</c:v>
                      </c:pt>
                      <c:pt idx="13">
                        <c:v>2016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ChartsWorksheet!$E$13:$E$27</c15:sqref>
                        </c15:fullRef>
                        <c15:formulaRef>
                          <c15:sqref>ChartsWorksheet!$E$13:$E$26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0.44500000000000001</c:v>
                      </c:pt>
                      <c:pt idx="1">
                        <c:v>0.42053104381283862</c:v>
                      </c:pt>
                      <c:pt idx="2">
                        <c:v>0.3834685110177628</c:v>
                      </c:pt>
                      <c:pt idx="3">
                        <c:v>0.38317282511712064</c:v>
                      </c:pt>
                      <c:pt idx="4">
                        <c:v>0.37657897652178102</c:v>
                      </c:pt>
                      <c:pt idx="5">
                        <c:v>0.38898491013029818</c:v>
                      </c:pt>
                      <c:pt idx="6">
                        <c:v>0.40683753691683822</c:v>
                      </c:pt>
                      <c:pt idx="7">
                        <c:v>0.41260577430825618</c:v>
                      </c:pt>
                      <c:pt idx="8">
                        <c:v>0.42117665225286699</c:v>
                      </c:pt>
                      <c:pt idx="9">
                        <c:v>0.42795070870314633</c:v>
                      </c:pt>
                      <c:pt idx="10">
                        <c:v>0.43567763789033725</c:v>
                      </c:pt>
                      <c:pt idx="11">
                        <c:v>0.43667152721234803</c:v>
                      </c:pt>
                      <c:pt idx="12">
                        <c:v>0.44209029793212018</c:v>
                      </c:pt>
                      <c:pt idx="13">
                        <c:v>0.439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95F-4B5C-BF8B-924C1B42868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ChartsWorksheet!$E$12</c15:sqref>
                        </c15:formulaRef>
                      </c:ext>
                    </c:extLst>
                    <c:strCache>
                      <c:ptCount val="1"/>
                      <c:pt idx="0">
                        <c:v>Rental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ChartsWorksheet!$B$13:$B$27</c15:sqref>
                        </c15:fullRef>
                        <c15:formulaRef>
                          <c15:sqref>ChartsWorksheet!$B$13:$B$26</c15:sqref>
                        </c15:formulaRef>
                      </c:ext>
                    </c:extLst>
                    <c:strCache>
                      <c:ptCount val="14"/>
                      <c:pt idx="0">
                        <c:v>1990</c:v>
                      </c:pt>
                      <c:pt idx="1">
                        <c:v>2000</c:v>
                      </c:pt>
                      <c:pt idx="2">
                        <c:v>2005</c:v>
                      </c:pt>
                      <c:pt idx="3">
                        <c:v>2006</c:v>
                      </c:pt>
                      <c:pt idx="4">
                        <c:v>2007</c:v>
                      </c:pt>
                      <c:pt idx="5">
                        <c:v>2008</c:v>
                      </c:pt>
                      <c:pt idx="6">
                        <c:v>2009</c:v>
                      </c:pt>
                      <c:pt idx="7">
                        <c:v>2010</c:v>
                      </c:pt>
                      <c:pt idx="8">
                        <c:v>2011</c:v>
                      </c:pt>
                      <c:pt idx="9">
                        <c:v>2012</c:v>
                      </c:pt>
                      <c:pt idx="10">
                        <c:v>2013</c:v>
                      </c:pt>
                      <c:pt idx="11">
                        <c:v>2014</c:v>
                      </c:pt>
                      <c:pt idx="12">
                        <c:v>2015</c:v>
                      </c:pt>
                      <c:pt idx="13">
                        <c:v>2016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ChartsWorksheet!$E$13:$E$27</c15:sqref>
                        </c15:fullRef>
                        <c15:formulaRef>
                          <c15:sqref>ChartsWorksheet!$E$13:$E$26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0.44500000000000001</c:v>
                      </c:pt>
                      <c:pt idx="1">
                        <c:v>0.42053104381283862</c:v>
                      </c:pt>
                      <c:pt idx="2">
                        <c:v>0.3834685110177628</c:v>
                      </c:pt>
                      <c:pt idx="3">
                        <c:v>0.38317282511712064</c:v>
                      </c:pt>
                      <c:pt idx="4">
                        <c:v>0.37657897652178102</c:v>
                      </c:pt>
                      <c:pt idx="5">
                        <c:v>0.38898491013029818</c:v>
                      </c:pt>
                      <c:pt idx="6">
                        <c:v>0.40683753691683822</c:v>
                      </c:pt>
                      <c:pt idx="7">
                        <c:v>0.41260577430825618</c:v>
                      </c:pt>
                      <c:pt idx="8">
                        <c:v>0.42117665225286699</c:v>
                      </c:pt>
                      <c:pt idx="9">
                        <c:v>0.42795070870314633</c:v>
                      </c:pt>
                      <c:pt idx="10">
                        <c:v>0.43567763789033725</c:v>
                      </c:pt>
                      <c:pt idx="11">
                        <c:v>0.43667152721234803</c:v>
                      </c:pt>
                      <c:pt idx="12">
                        <c:v>0.44209029793212018</c:v>
                      </c:pt>
                      <c:pt idx="13">
                        <c:v>0.439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95F-4B5C-BF8B-924C1B428684}"/>
                  </c:ext>
                </c:extLst>
              </c15:ser>
            </c15:filteredLineSeries>
          </c:ext>
        </c:extLst>
      </c:lineChart>
      <c:catAx>
        <c:axId val="59679351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92528"/>
        <c:crosses val="autoZero"/>
        <c:auto val="1"/>
        <c:lblAlgn val="ctr"/>
        <c:lblOffset val="100"/>
        <c:noMultiLvlLbl val="0"/>
      </c:catAx>
      <c:valAx>
        <c:axId val="596792528"/>
        <c:scaling>
          <c:orientation val="minMax"/>
          <c:max val="0.46"/>
          <c:min val="0.36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Renter-Occupied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93512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in Households that are Renter- or Owner-Occupied</a:t>
            </a:r>
          </a:p>
          <a:p>
            <a:pPr>
              <a:defRPr/>
            </a:pPr>
            <a:r>
              <a:rPr lang="en-US" sz="1000"/>
              <a:t>Cook County - 1990 to 2016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ChartsWorksheet!$C$12</c:f>
              <c:strCache>
                <c:ptCount val="1"/>
                <c:pt idx="0">
                  <c:v>Renter-Occupied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12700">
                <a:solidFill>
                  <a:schemeClr val="bg1"/>
                </a:solidFill>
              </a:ln>
              <a:effectLst/>
            </c:spPr>
          </c:marker>
          <c:cat>
            <c:numRef>
              <c:f>ChartsWorksheet!$B$13:$B$26</c:f>
              <c:numCache>
                <c:formatCode>General</c:formatCode>
                <c:ptCount val="14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ChartsWorksheet!$C$13:$C$26</c:f>
              <c:numCache>
                <c:formatCode>#,##0_);\(#,##0\)</c:formatCode>
                <c:ptCount val="14"/>
                <c:pt idx="0">
                  <c:v>836596.01760000002</c:v>
                </c:pt>
                <c:pt idx="1">
                  <c:v>829336</c:v>
                </c:pt>
                <c:pt idx="2">
                  <c:v>740067</c:v>
                </c:pt>
                <c:pt idx="3">
                  <c:v>740365</c:v>
                </c:pt>
                <c:pt idx="4">
                  <c:v>730839.99999999825</c:v>
                </c:pt>
                <c:pt idx="5">
                  <c:v>755292</c:v>
                </c:pt>
                <c:pt idx="6">
                  <c:v>785753</c:v>
                </c:pt>
                <c:pt idx="7">
                  <c:v>793084</c:v>
                </c:pt>
                <c:pt idx="8">
                  <c:v>807359</c:v>
                </c:pt>
                <c:pt idx="9">
                  <c:v>828513</c:v>
                </c:pt>
                <c:pt idx="10">
                  <c:v>845168</c:v>
                </c:pt>
                <c:pt idx="11">
                  <c:v>846293</c:v>
                </c:pt>
                <c:pt idx="12">
                  <c:v>864156.99999999942</c:v>
                </c:pt>
                <c:pt idx="13">
                  <c:v>863054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5-4A02-870A-5A5774A40F9A}"/>
            </c:ext>
          </c:extLst>
        </c:ser>
        <c:ser>
          <c:idx val="1"/>
          <c:order val="1"/>
          <c:tx>
            <c:strRef>
              <c:f>ChartsWorksheet!$D$12</c:f>
              <c:strCache>
                <c:ptCount val="1"/>
                <c:pt idx="0">
                  <c:v>Owner-Occupied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chemeClr val="accent1">
                  <a:lumMod val="50000"/>
                </a:schemeClr>
              </a:solidFill>
              <a:ln w="12700">
                <a:solidFill>
                  <a:schemeClr val="bg1"/>
                </a:solidFill>
              </a:ln>
              <a:effectLst/>
            </c:spPr>
          </c:marker>
          <c:cat>
            <c:numRef>
              <c:f>ChartsWorksheet!$B$13:$B$26</c:f>
              <c:numCache>
                <c:formatCode>General</c:formatCode>
                <c:ptCount val="14"/>
                <c:pt idx="0">
                  <c:v>1990</c:v>
                </c:pt>
                <c:pt idx="1">
                  <c:v>2000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</c:numCache>
            </c:numRef>
          </c:cat>
          <c:val>
            <c:numRef>
              <c:f>ChartsWorksheet!$D$13:$D$26</c:f>
              <c:numCache>
                <c:formatCode>#,##0_);\(#,##0\)</c:formatCode>
                <c:ptCount val="14"/>
                <c:pt idx="0">
                  <c:v>1042938.571</c:v>
                </c:pt>
                <c:pt idx="1">
                  <c:v>1142780</c:v>
                </c:pt>
                <c:pt idx="2">
                  <c:v>1189862</c:v>
                </c:pt>
                <c:pt idx="3">
                  <c:v>1191831</c:v>
                </c:pt>
                <c:pt idx="4">
                  <c:v>1209895.0000000014</c:v>
                </c:pt>
                <c:pt idx="5">
                  <c:v>1186408</c:v>
                </c:pt>
                <c:pt idx="6">
                  <c:v>1145615</c:v>
                </c:pt>
                <c:pt idx="7">
                  <c:v>1129051</c:v>
                </c:pt>
                <c:pt idx="8">
                  <c:v>1109554</c:v>
                </c:pt>
                <c:pt idx="9">
                  <c:v>1107488</c:v>
                </c:pt>
                <c:pt idx="10">
                  <c:v>1094725</c:v>
                </c:pt>
                <c:pt idx="11">
                  <c:v>1091761</c:v>
                </c:pt>
                <c:pt idx="12">
                  <c:v>1090549.9999999972</c:v>
                </c:pt>
                <c:pt idx="13">
                  <c:v>1100916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5-4A02-870A-5A5774A40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600152"/>
        <c:axId val="479596216"/>
      </c:lineChart>
      <c:catAx>
        <c:axId val="479600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596216"/>
        <c:crosses val="autoZero"/>
        <c:auto val="1"/>
        <c:lblAlgn val="ctr"/>
        <c:lblOffset val="100"/>
        <c:noMultiLvlLbl val="0"/>
      </c:catAx>
      <c:valAx>
        <c:axId val="479596216"/>
        <c:scaling>
          <c:orientation val="minMax"/>
          <c:max val="1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]#,##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00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Shifts in Renter Households by Income</a:t>
            </a:r>
          </a:p>
          <a:p>
            <a:pPr>
              <a:defRPr/>
            </a:pPr>
            <a:r>
              <a:rPr lang="en-US" sz="1000"/>
              <a:t>Cook County - 2007 to 2016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ChartsWorksheet!$C$31</c:f>
              <c:strCache>
                <c:ptCount val="1"/>
                <c:pt idx="0">
                  <c:v>&lt;30% AMI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12700">
                <a:noFill/>
              </a:ln>
              <a:effectLst/>
            </c:spPr>
          </c:marker>
          <c:cat>
            <c:numRef>
              <c:f>ChartsWorksheet!$B$32:$B$37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ChartsWorksheet!$C$32:$C$37</c:f>
              <c:numCache>
                <c:formatCode>#,##0</c:formatCode>
                <c:ptCount val="6"/>
                <c:pt idx="0">
                  <c:v>222805.00000000035</c:v>
                </c:pt>
                <c:pt idx="1">
                  <c:v>254569.0000000002</c:v>
                </c:pt>
                <c:pt idx="2">
                  <c:v>249787.9999999998</c:v>
                </c:pt>
                <c:pt idx="3">
                  <c:v>240827.99999999988</c:v>
                </c:pt>
                <c:pt idx="4">
                  <c:v>238195.99999999971</c:v>
                </c:pt>
                <c:pt idx="5">
                  <c:v>240873.9999999998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1D-4EE7-BCC3-8D44DA41DC7C}"/>
            </c:ext>
          </c:extLst>
        </c:ser>
        <c:ser>
          <c:idx val="1"/>
          <c:order val="1"/>
          <c:tx>
            <c:strRef>
              <c:f>ChartsWorksheet!$D$31</c:f>
              <c:strCache>
                <c:ptCount val="1"/>
                <c:pt idx="0">
                  <c:v>30-50% AMI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12700">
                <a:noFill/>
              </a:ln>
              <a:effectLst/>
            </c:spPr>
          </c:marker>
          <c:cat>
            <c:numRef>
              <c:f>ChartsWorksheet!$B$32:$B$37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ChartsWorksheet!$D$32:$D$37</c:f>
              <c:numCache>
                <c:formatCode>#,##0</c:formatCode>
                <c:ptCount val="6"/>
                <c:pt idx="0">
                  <c:v>128632.00000000003</c:v>
                </c:pt>
                <c:pt idx="1">
                  <c:v>130664.00000000003</c:v>
                </c:pt>
                <c:pt idx="2">
                  <c:v>135664.00000000006</c:v>
                </c:pt>
                <c:pt idx="3">
                  <c:v>138553.99999999988</c:v>
                </c:pt>
                <c:pt idx="4">
                  <c:v>158669.99999999965</c:v>
                </c:pt>
                <c:pt idx="5">
                  <c:v>144864.99999999994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E1D-4EE7-BCC3-8D44DA41DC7C}"/>
            </c:ext>
          </c:extLst>
        </c:ser>
        <c:ser>
          <c:idx val="2"/>
          <c:order val="2"/>
          <c:tx>
            <c:strRef>
              <c:f>ChartsWorksheet!$E$31</c:f>
              <c:strCache>
                <c:ptCount val="1"/>
                <c:pt idx="0">
                  <c:v>50 to 80% AMI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12700">
                <a:noFill/>
              </a:ln>
              <a:effectLst/>
            </c:spPr>
          </c:marker>
          <c:cat>
            <c:numRef>
              <c:f>ChartsWorksheet!$B$32:$B$37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ChartsWorksheet!$E$32:$E$37</c:f>
              <c:numCache>
                <c:formatCode>#,##0</c:formatCode>
                <c:ptCount val="6"/>
                <c:pt idx="0">
                  <c:v>144209.00000000003</c:v>
                </c:pt>
                <c:pt idx="1">
                  <c:v>159057.99999999985</c:v>
                </c:pt>
                <c:pt idx="2">
                  <c:v>148035.00000000012</c:v>
                </c:pt>
                <c:pt idx="3">
                  <c:v>150093.99999999974</c:v>
                </c:pt>
                <c:pt idx="4">
                  <c:v>157474</c:v>
                </c:pt>
                <c:pt idx="5">
                  <c:v>158637.99999999977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E1D-4EE7-BCC3-8D44DA41DC7C}"/>
            </c:ext>
          </c:extLst>
        </c:ser>
        <c:ser>
          <c:idx val="3"/>
          <c:order val="3"/>
          <c:tx>
            <c:strRef>
              <c:f>ChartsWorksheet!$F$31</c:f>
              <c:strCache>
                <c:ptCount val="1"/>
                <c:pt idx="0">
                  <c:v>80 to 120% AMI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12700">
                <a:noFill/>
              </a:ln>
              <a:effectLst/>
            </c:spPr>
          </c:marker>
          <c:cat>
            <c:numRef>
              <c:f>ChartsWorksheet!$B$32:$B$37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ChartsWorksheet!$F$32:$F$37</c:f>
              <c:numCache>
                <c:formatCode>#,##0</c:formatCode>
                <c:ptCount val="6"/>
                <c:pt idx="0">
                  <c:v>123373.99999999997</c:v>
                </c:pt>
                <c:pt idx="1">
                  <c:v>121273.99999999996</c:v>
                </c:pt>
                <c:pt idx="2">
                  <c:v>137269.00000000003</c:v>
                </c:pt>
                <c:pt idx="3">
                  <c:v>140343.99999999997</c:v>
                </c:pt>
                <c:pt idx="4">
                  <c:v>127950.00000000004</c:v>
                </c:pt>
                <c:pt idx="5">
                  <c:v>131447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E1D-4EE7-BCC3-8D44DA41DC7C}"/>
            </c:ext>
          </c:extLst>
        </c:ser>
        <c:ser>
          <c:idx val="4"/>
          <c:order val="4"/>
          <c:tx>
            <c:strRef>
              <c:f>ChartsWorksheet!$G$31</c:f>
              <c:strCache>
                <c:ptCount val="1"/>
                <c:pt idx="0">
                  <c:v>Greater than 120% AMI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12700">
                <a:noFill/>
              </a:ln>
              <a:effectLst/>
            </c:spPr>
          </c:marker>
          <c:cat>
            <c:numRef>
              <c:f>ChartsWorksheet!$B$32:$B$37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ChartsWorksheet!$G$32:$G$37</c:f>
              <c:numCache>
                <c:formatCode>#,##0</c:formatCode>
                <c:ptCount val="6"/>
                <c:pt idx="0">
                  <c:v>111820.00000000003</c:v>
                </c:pt>
                <c:pt idx="1">
                  <c:v>162947.99999999988</c:v>
                </c:pt>
                <c:pt idx="2">
                  <c:v>174412.00000000017</c:v>
                </c:pt>
                <c:pt idx="3">
                  <c:v>176473.00000000012</c:v>
                </c:pt>
                <c:pt idx="4">
                  <c:v>181867.00000000009</c:v>
                </c:pt>
                <c:pt idx="5">
                  <c:v>187229.99999999991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E1D-4EE7-BCC3-8D44DA41D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167448"/>
        <c:axId val="484168104"/>
      </c:lineChart>
      <c:catAx>
        <c:axId val="48416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68104"/>
        <c:crosses val="autoZero"/>
        <c:auto val="1"/>
        <c:lblAlgn val="ctr"/>
        <c:lblOffset val="100"/>
        <c:noMultiLvlLbl val="0"/>
      </c:catAx>
      <c:valAx>
        <c:axId val="48416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]#,##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167448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Compostion of Renter Households by Income Level</a:t>
            </a:r>
          </a:p>
          <a:p>
            <a:pPr>
              <a:defRPr/>
            </a:pPr>
            <a:r>
              <a:rPr lang="en-US" sz="1000"/>
              <a:t>Cook County - 2007 to 2016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ChartsWorksheet!$C$54</c:f>
              <c:strCache>
                <c:ptCount val="1"/>
                <c:pt idx="0">
                  <c:v>&lt;30% AMI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0"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ChartsWorksheet!$B$55:$B$60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ChartsWorksheet!$C$55:$C$60</c:f>
              <c:numCache>
                <c:formatCode>General</c:formatCode>
                <c:ptCount val="6"/>
                <c:pt idx="0">
                  <c:v>0.30486152919927789</c:v>
                </c:pt>
                <c:pt idx="1">
                  <c:v>0.30726011541158704</c:v>
                </c:pt>
                <c:pt idx="2">
                  <c:v>0.29554834068492858</c:v>
                </c:pt>
                <c:pt idx="3">
                  <c:v>0.28456811057163417</c:v>
                </c:pt>
                <c:pt idx="4">
                  <c:v>0.27563972750321974</c:v>
                </c:pt>
                <c:pt idx="5">
                  <c:v>0.27909493496351323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C-485C-B865-D816B4AF8AB4}"/>
            </c:ext>
          </c:extLst>
        </c:ser>
        <c:ser>
          <c:idx val="1"/>
          <c:order val="1"/>
          <c:tx>
            <c:strRef>
              <c:f>ChartsWorksheet!$D$54</c:f>
              <c:strCache>
                <c:ptCount val="1"/>
                <c:pt idx="0">
                  <c:v>30-50% AMI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ChartsWorksheet!$B$55:$B$60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ChartsWorksheet!$D$55:$D$60</c:f>
              <c:numCache>
                <c:formatCode>General</c:formatCode>
                <c:ptCount val="6"/>
                <c:pt idx="0">
                  <c:v>0.17600569208034586</c:v>
                </c:pt>
                <c:pt idx="1">
                  <c:v>0.15770905224178744</c:v>
                </c:pt>
                <c:pt idx="2">
                  <c:v>0.16051719894742822</c:v>
                </c:pt>
                <c:pt idx="3">
                  <c:v>0.16371871207725922</c:v>
                </c:pt>
                <c:pt idx="4">
                  <c:v>0.18361246856763269</c:v>
                </c:pt>
                <c:pt idx="5">
                  <c:v>0.16785160604087351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9C-485C-B865-D816B4AF8AB4}"/>
            </c:ext>
          </c:extLst>
        </c:ser>
        <c:ser>
          <c:idx val="2"/>
          <c:order val="2"/>
          <c:tx>
            <c:strRef>
              <c:f>ChartsWorksheet!$E$54</c:f>
              <c:strCache>
                <c:ptCount val="1"/>
                <c:pt idx="0">
                  <c:v>50 to 80% AMI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ChartsWorksheet!$B$55:$B$60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ChartsWorksheet!$E$55:$E$60</c:f>
              <c:numCache>
                <c:formatCode>General</c:formatCode>
                <c:ptCount val="6"/>
                <c:pt idx="0">
                  <c:v>0.19731952274095557</c:v>
                </c:pt>
                <c:pt idx="1">
                  <c:v>0.19198008963045826</c:v>
                </c:pt>
                <c:pt idx="2">
                  <c:v>0.17515452549079008</c:v>
                </c:pt>
                <c:pt idx="3">
                  <c:v>0.17735465140323717</c:v>
                </c:pt>
                <c:pt idx="4">
                  <c:v>0.18222846080052596</c:v>
                </c:pt>
                <c:pt idx="5">
                  <c:v>0.18381005128300185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9C-485C-B865-D816B4AF8AB4}"/>
            </c:ext>
          </c:extLst>
        </c:ser>
        <c:ser>
          <c:idx val="3"/>
          <c:order val="3"/>
          <c:tx>
            <c:strRef>
              <c:f>ChartsWorksheet!$F$54</c:f>
              <c:strCache>
                <c:ptCount val="1"/>
                <c:pt idx="0">
                  <c:v>80 to 120% AMI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ChartsWorksheet!$B$55:$B$60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ChartsWorksheet!$F$55:$F$60</c:f>
              <c:numCache>
                <c:formatCode>General</c:formatCode>
                <c:ptCount val="6"/>
                <c:pt idx="0">
                  <c:v>0.16881123091237468</c:v>
                </c:pt>
                <c:pt idx="1">
                  <c:v>0.14637549440986436</c:v>
                </c:pt>
                <c:pt idx="2">
                  <c:v>0.16241622967268046</c:v>
                </c:pt>
                <c:pt idx="3">
                  <c:v>0.16583381878380185</c:v>
                </c:pt>
                <c:pt idx="4">
                  <c:v>0.14806337274361039</c:v>
                </c:pt>
                <c:pt idx="5">
                  <c:v>0.15230449079663624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9C-485C-B865-D816B4AF8AB4}"/>
            </c:ext>
          </c:extLst>
        </c:ser>
        <c:ser>
          <c:idx val="4"/>
          <c:order val="4"/>
          <c:tx>
            <c:strRef>
              <c:f>ChartsWorksheet!$G$54</c:f>
              <c:strCache>
                <c:ptCount val="1"/>
                <c:pt idx="0">
                  <c:v>Greater than 120% AMI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ChartsWorksheet!$B$55:$B$60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ChartsWorksheet!$G$55:$G$60</c:f>
              <c:numCache>
                <c:formatCode>General</c:formatCode>
                <c:ptCount val="6"/>
                <c:pt idx="0">
                  <c:v>0.1530020250670461</c:v>
                </c:pt>
                <c:pt idx="1">
                  <c:v>0.19667524830630284</c:v>
                </c:pt>
                <c:pt idx="2">
                  <c:v>0.20636370520417258</c:v>
                </c:pt>
                <c:pt idx="3">
                  <c:v>0.20852470716406751</c:v>
                </c:pt>
                <c:pt idx="4">
                  <c:v>0.21045597038501129</c:v>
                </c:pt>
                <c:pt idx="5">
                  <c:v>0.21693891691597517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9C-485C-B865-D816B4AF8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681584"/>
        <c:axId val="606674696"/>
      </c:barChart>
      <c:catAx>
        <c:axId val="60668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74696"/>
        <c:crosses val="autoZero"/>
        <c:auto val="1"/>
        <c:lblAlgn val="ctr"/>
        <c:lblOffset val="100"/>
        <c:noMultiLvlLbl val="0"/>
      </c:catAx>
      <c:valAx>
        <c:axId val="60667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815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Shifts in Renter Household</a:t>
            </a:r>
            <a:r>
              <a:rPr lang="en-US" baseline="0"/>
              <a:t> by Age</a:t>
            </a:r>
          </a:p>
          <a:p>
            <a:pPr>
              <a:defRPr/>
            </a:pPr>
            <a:r>
              <a:rPr lang="en-US" sz="1000"/>
              <a:t>Cook County - 2007</a:t>
            </a:r>
            <a:r>
              <a:rPr lang="en-US" sz="1000" baseline="0"/>
              <a:t> </a:t>
            </a:r>
            <a:r>
              <a:rPr lang="en-US" sz="1000"/>
              <a:t>to 2016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ChartsWorksheet!$B$43</c:f>
              <c:strCache>
                <c:ptCount val="1"/>
                <c:pt idx="0">
                  <c:v>15-24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ChartsWorksheet!$C$43:$H$43</c:f>
              <c:numCache>
                <c:formatCode>#,##0</c:formatCode>
                <c:ptCount val="6"/>
                <c:pt idx="0">
                  <c:v>66400.999999999985</c:v>
                </c:pt>
                <c:pt idx="1">
                  <c:v>57446.999999999942</c:v>
                </c:pt>
                <c:pt idx="2">
                  <c:v>56750</c:v>
                </c:pt>
                <c:pt idx="3">
                  <c:v>50614</c:v>
                </c:pt>
                <c:pt idx="4">
                  <c:v>51612.000000000022</c:v>
                </c:pt>
                <c:pt idx="5">
                  <c:v>55362.000000000007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0B-48DC-8F68-ADE2C60A7C75}"/>
            </c:ext>
          </c:extLst>
        </c:ser>
        <c:ser>
          <c:idx val="1"/>
          <c:order val="1"/>
          <c:tx>
            <c:strRef>
              <c:f>ChartsWorksheet!$B$44</c:f>
              <c:strCache>
                <c:ptCount val="1"/>
                <c:pt idx="0">
                  <c:v>25-34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ChartsWorksheet!$C$44:$H$44</c:f>
              <c:numCache>
                <c:formatCode>#,##0</c:formatCode>
                <c:ptCount val="6"/>
                <c:pt idx="0">
                  <c:v>188030.99999999988</c:v>
                </c:pt>
                <c:pt idx="1">
                  <c:v>255528.00000000041</c:v>
                </c:pt>
                <c:pt idx="2">
                  <c:v>254331.99999999953</c:v>
                </c:pt>
                <c:pt idx="3">
                  <c:v>263784</c:v>
                </c:pt>
                <c:pt idx="4">
                  <c:v>255764.00000000035</c:v>
                </c:pt>
                <c:pt idx="5">
                  <c:v>257462.99999999997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30B-48DC-8F68-ADE2C60A7C75}"/>
            </c:ext>
          </c:extLst>
        </c:ser>
        <c:ser>
          <c:idx val="2"/>
          <c:order val="2"/>
          <c:tx>
            <c:strRef>
              <c:f>ChartsWorksheet!$B$45</c:f>
              <c:strCache>
                <c:ptCount val="1"/>
                <c:pt idx="0">
                  <c:v>35-44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ChartsWorksheet!$C$45:$H$45</c:f>
              <c:numCache>
                <c:formatCode>#,##0</c:formatCode>
                <c:ptCount val="6"/>
                <c:pt idx="0">
                  <c:v>158487.99999999994</c:v>
                </c:pt>
                <c:pt idx="1">
                  <c:v>167763.99999999994</c:v>
                </c:pt>
                <c:pt idx="2">
                  <c:v>182252.99999999977</c:v>
                </c:pt>
                <c:pt idx="3">
                  <c:v>180135</c:v>
                </c:pt>
                <c:pt idx="4">
                  <c:v>185879.00000000015</c:v>
                </c:pt>
                <c:pt idx="5">
                  <c:v>178148.00000000029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0B-48DC-8F68-ADE2C60A7C75}"/>
            </c:ext>
          </c:extLst>
        </c:ser>
        <c:ser>
          <c:idx val="3"/>
          <c:order val="3"/>
          <c:tx>
            <c:strRef>
              <c:f>ChartsWorksheet!$B$46</c:f>
              <c:strCache>
                <c:ptCount val="1"/>
                <c:pt idx="0">
                  <c:v>45-54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ChartsWorksheet!$C$46:$H$46</c:f>
              <c:numCache>
                <c:formatCode>#,##0</c:formatCode>
                <c:ptCount val="6"/>
                <c:pt idx="0">
                  <c:v>133980.00000000003</c:v>
                </c:pt>
                <c:pt idx="1">
                  <c:v>136722.99999999994</c:v>
                </c:pt>
                <c:pt idx="2">
                  <c:v>141309.00000000003</c:v>
                </c:pt>
                <c:pt idx="3">
                  <c:v>131730</c:v>
                </c:pt>
                <c:pt idx="4">
                  <c:v>136865.00000000009</c:v>
                </c:pt>
                <c:pt idx="5">
                  <c:v>135140.00000000012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0B-48DC-8F68-ADE2C60A7C75}"/>
            </c:ext>
          </c:extLst>
        </c:ser>
        <c:ser>
          <c:idx val="4"/>
          <c:order val="4"/>
          <c:tx>
            <c:strRef>
              <c:f>ChartsWorksheet!$B$47</c:f>
              <c:strCache>
                <c:ptCount val="1"/>
                <c:pt idx="0">
                  <c:v>55-64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ChartsWorksheet!$C$47:$H$47</c:f>
              <c:numCache>
                <c:formatCode>#,##0</c:formatCode>
                <c:ptCount val="6"/>
                <c:pt idx="0">
                  <c:v>86845.000000000131</c:v>
                </c:pt>
                <c:pt idx="1">
                  <c:v>101681.99999999997</c:v>
                </c:pt>
                <c:pt idx="2">
                  <c:v>103379.00000000003</c:v>
                </c:pt>
                <c:pt idx="3">
                  <c:v>110598</c:v>
                </c:pt>
                <c:pt idx="4">
                  <c:v>113029.00000000012</c:v>
                </c:pt>
                <c:pt idx="5">
                  <c:v>111102.99999999984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0B-48DC-8F68-ADE2C60A7C75}"/>
            </c:ext>
          </c:extLst>
        </c:ser>
        <c:ser>
          <c:idx val="5"/>
          <c:order val="5"/>
          <c:tx>
            <c:strRef>
              <c:f>ChartsWorksheet!$B$48</c:f>
              <c:strCache>
                <c:ptCount val="1"/>
                <c:pt idx="0">
                  <c:v>65-74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ChartsWorksheet!$C$48:$H$48</c:f>
              <c:numCache>
                <c:formatCode>#,##0</c:formatCode>
                <c:ptCount val="6"/>
                <c:pt idx="0">
                  <c:v>49283.999999999985</c:v>
                </c:pt>
                <c:pt idx="1">
                  <c:v>56293.000000000015</c:v>
                </c:pt>
                <c:pt idx="2">
                  <c:v>57663</c:v>
                </c:pt>
                <c:pt idx="3">
                  <c:v>59979</c:v>
                </c:pt>
                <c:pt idx="4">
                  <c:v>66581.000000000015</c:v>
                </c:pt>
                <c:pt idx="5">
                  <c:v>68869.000000000029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30B-48DC-8F68-ADE2C60A7C75}"/>
            </c:ext>
          </c:extLst>
        </c:ser>
        <c:ser>
          <c:idx val="6"/>
          <c:order val="6"/>
          <c:tx>
            <c:strRef>
              <c:f>ChartsWorksheet!$B$49</c:f>
              <c:strCache>
                <c:ptCount val="1"/>
                <c:pt idx="0">
                  <c:v>75+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ChartsWorksheet!$C$42:$H$42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ChartsWorksheet!$C$49:$H$49</c:f>
              <c:numCache>
                <c:formatCode>#,##0</c:formatCode>
                <c:ptCount val="6"/>
                <c:pt idx="0">
                  <c:v>47811</c:v>
                </c:pt>
                <c:pt idx="1">
                  <c:v>53076.000000000007</c:v>
                </c:pt>
                <c:pt idx="2">
                  <c:v>49481.999999999985</c:v>
                </c:pt>
                <c:pt idx="3">
                  <c:v>49453</c:v>
                </c:pt>
                <c:pt idx="4">
                  <c:v>54427.000000000015</c:v>
                </c:pt>
                <c:pt idx="5">
                  <c:v>56969.000000000036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0B-48DC-8F68-ADE2C60A7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533008"/>
        <c:axId val="600541864"/>
      </c:lineChart>
      <c:catAx>
        <c:axId val="60053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41864"/>
        <c:crosses val="autoZero"/>
        <c:auto val="1"/>
        <c:lblAlgn val="ctr"/>
        <c:lblOffset val="100"/>
        <c:noMultiLvlLbl val="0"/>
      </c:catAx>
      <c:valAx>
        <c:axId val="60054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]#,##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33008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Composition of Renter Households by Age</a:t>
            </a:r>
          </a:p>
          <a:p>
            <a:pPr>
              <a:defRPr/>
            </a:pPr>
            <a:r>
              <a:rPr lang="en-US" sz="1000"/>
              <a:t>Cook County - 2007 to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ChartsWorksheet!$B$78</c:f>
              <c:strCache>
                <c:ptCount val="1"/>
                <c:pt idx="0">
                  <c:v>15-24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ChartsWorksheet!$C$78:$H$78</c:f>
              <c:numCache>
                <c:formatCode>General</c:formatCode>
                <c:ptCount val="6"/>
                <c:pt idx="0">
                  <c:v>9.0855727655848262E-2</c:v>
                </c:pt>
                <c:pt idx="1">
                  <c:v>6.9337475694406639E-2</c:v>
                </c:pt>
                <c:pt idx="2">
                  <c:v>6.714641349412194E-2</c:v>
                </c:pt>
                <c:pt idx="3">
                  <c:v>5.9806709969242332E-2</c:v>
                </c:pt>
                <c:pt idx="4">
                  <c:v>5.9725258257469396E-2</c:v>
                </c:pt>
                <c:pt idx="5">
                  <c:v>6.4146623502121525E-2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37A-4549-AB39-90B129F25E7E}"/>
            </c:ext>
          </c:extLst>
        </c:ser>
        <c:ser>
          <c:idx val="1"/>
          <c:order val="1"/>
          <c:tx>
            <c:strRef>
              <c:f>ChartsWorksheet!$B$79</c:f>
              <c:strCache>
                <c:ptCount val="1"/>
                <c:pt idx="0">
                  <c:v>25-34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ChartsWorksheet!$C$79:$H$79</c:f>
              <c:numCache>
                <c:formatCode>General</c:formatCode>
                <c:ptCount val="6"/>
                <c:pt idx="0">
                  <c:v>0.25728066334628691</c:v>
                </c:pt>
                <c:pt idx="1">
                  <c:v>0.30841761082807434</c:v>
                </c:pt>
                <c:pt idx="2">
                  <c:v>0.30092478655131255</c:v>
                </c:pt>
                <c:pt idx="3">
                  <c:v>0.31169346786514834</c:v>
                </c:pt>
                <c:pt idx="4">
                  <c:v>0.29596936667758306</c:v>
                </c:pt>
                <c:pt idx="5">
                  <c:v>0.29831621196356178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7A-4549-AB39-90B129F25E7E}"/>
            </c:ext>
          </c:extLst>
        </c:ser>
        <c:ser>
          <c:idx val="2"/>
          <c:order val="2"/>
          <c:tx>
            <c:strRef>
              <c:f>ChartsWorksheet!$B$80</c:f>
              <c:strCache>
                <c:ptCount val="1"/>
                <c:pt idx="0">
                  <c:v>35-44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ChartsWorksheet!$C$80:$H$80</c:f>
              <c:numCache>
                <c:formatCode>General</c:formatCode>
                <c:ptCount val="6"/>
                <c:pt idx="0">
                  <c:v>0.21685731487056034</c:v>
                </c:pt>
                <c:pt idx="1">
                  <c:v>0.20248807200369806</c:v>
                </c:pt>
                <c:pt idx="2">
                  <c:v>0.21564115063513989</c:v>
                </c:pt>
                <c:pt idx="3">
                  <c:v>0.21285181373354145</c:v>
                </c:pt>
                <c:pt idx="4">
                  <c:v>0.21509864526932027</c:v>
                </c:pt>
                <c:pt idx="5">
                  <c:v>0.2064158210262628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37A-4549-AB39-90B129F25E7E}"/>
            </c:ext>
          </c:extLst>
        </c:ser>
        <c:ser>
          <c:idx val="3"/>
          <c:order val="3"/>
          <c:tx>
            <c:strRef>
              <c:f>ChartsWorksheet!$B$81</c:f>
              <c:strCache>
                <c:ptCount val="1"/>
                <c:pt idx="0">
                  <c:v>45-54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ChartsWorksheet!$C$81:$H$81</c:f>
              <c:numCache>
                <c:formatCode>General</c:formatCode>
                <c:ptCount val="6"/>
                <c:pt idx="0">
                  <c:v>0.18332329921733942</c:v>
                </c:pt>
                <c:pt idx="1">
                  <c:v>0.16502215414845622</c:v>
                </c:pt>
                <c:pt idx="2">
                  <c:v>0.16719634439543399</c:v>
                </c:pt>
                <c:pt idx="3">
                  <c:v>0.15565531086751278</c:v>
                </c:pt>
                <c:pt idx="4">
                  <c:v>0.15837978515478088</c:v>
                </c:pt>
                <c:pt idx="5">
                  <c:v>0.15658348145075518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37A-4549-AB39-90B129F25E7E}"/>
            </c:ext>
          </c:extLst>
        </c:ser>
        <c:ser>
          <c:idx val="4"/>
          <c:order val="4"/>
          <c:tx>
            <c:strRef>
              <c:f>ChartsWorksheet!$B$82</c:f>
              <c:strCache>
                <c:ptCount val="1"/>
                <c:pt idx="0">
                  <c:v>55-64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ChartsWorksheet!$C$82:$H$82</c:f>
              <c:numCache>
                <c:formatCode>General</c:formatCode>
                <c:ptCount val="6"/>
                <c:pt idx="0">
                  <c:v>0.11882901866345622</c:v>
                </c:pt>
                <c:pt idx="1">
                  <c:v>0.12272830963424827</c:v>
                </c:pt>
                <c:pt idx="2">
                  <c:v>0.12231769305037592</c:v>
                </c:pt>
                <c:pt idx="3">
                  <c:v>0.13068523549172686</c:v>
                </c:pt>
                <c:pt idx="4">
                  <c:v>0.13079683437153206</c:v>
                </c:pt>
                <c:pt idx="5">
                  <c:v>0.12873238522734359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37A-4549-AB39-90B129F25E7E}"/>
            </c:ext>
          </c:extLst>
        </c:ser>
        <c:ser>
          <c:idx val="5"/>
          <c:order val="5"/>
          <c:tx>
            <c:strRef>
              <c:f>ChartsWorksheet!$B$83</c:f>
              <c:strCache>
                <c:ptCount val="1"/>
                <c:pt idx="0">
                  <c:v>65-74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ChartsWorksheet!$C$83:$H$83</c:f>
              <c:numCache>
                <c:formatCode>General</c:formatCode>
                <c:ptCount val="6"/>
                <c:pt idx="0">
                  <c:v>6.7434732636418512E-2</c:v>
                </c:pt>
                <c:pt idx="1">
                  <c:v>6.7944618853295002E-2</c:v>
                </c:pt>
                <c:pt idx="2">
                  <c:v>6.8226672093595647E-2</c:v>
                </c:pt>
                <c:pt idx="3">
                  <c:v>7.0872617403192506E-2</c:v>
                </c:pt>
                <c:pt idx="4">
                  <c:v>7.7047342091772636E-2</c:v>
                </c:pt>
                <c:pt idx="5">
                  <c:v>7.9796860914844267E-2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37A-4549-AB39-90B129F25E7E}"/>
            </c:ext>
          </c:extLst>
        </c:ser>
        <c:ser>
          <c:idx val="6"/>
          <c:order val="6"/>
          <c:tx>
            <c:strRef>
              <c:f>ChartsWorksheet!$B$84</c:f>
              <c:strCache>
                <c:ptCount val="1"/>
                <c:pt idx="0">
                  <c:v>75+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ChartsWorksheet!$C$77:$H$77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ChartsWorksheet!$C$84:$H$84</c:f>
              <c:numCache>
                <c:formatCode>General</c:formatCode>
                <c:ptCount val="6"/>
                <c:pt idx="0">
                  <c:v>6.5419243610092659E-2</c:v>
                </c:pt>
                <c:pt idx="1">
                  <c:v>6.4061758837821489E-2</c:v>
                </c:pt>
                <c:pt idx="2">
                  <c:v>5.8546939780020096E-2</c:v>
                </c:pt>
                <c:pt idx="3">
                  <c:v>5.8434844669635694E-2</c:v>
                </c:pt>
                <c:pt idx="4">
                  <c:v>6.2982768177541781E-2</c:v>
                </c:pt>
                <c:pt idx="5">
                  <c:v>6.6008615915110772E-2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37A-4549-AB39-90B129F25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5836104"/>
        <c:axId val="575840040"/>
      </c:barChart>
      <c:catAx>
        <c:axId val="57583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40040"/>
        <c:crosses val="autoZero"/>
        <c:auto val="1"/>
        <c:lblAlgn val="ctr"/>
        <c:lblOffset val="100"/>
        <c:noMultiLvlLbl val="0"/>
      </c:catAx>
      <c:valAx>
        <c:axId val="57584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3610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Rental Supply by Building Size</a:t>
            </a:r>
          </a:p>
          <a:p>
            <a:pPr>
              <a:defRPr/>
            </a:pPr>
            <a:r>
              <a:rPr lang="en-US" sz="1000"/>
              <a:t>Cook County - 2007 to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ChartsWorksheet!$B$101</c:f>
              <c:strCache>
                <c:ptCount val="1"/>
                <c:pt idx="0">
                  <c:v>Single-Unit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ChartsWorksheet!$C$100:$H$100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ChartsWorksheet!$C$101:$H$101</c:f>
              <c:numCache>
                <c:formatCode>General</c:formatCode>
                <c:ptCount val="6"/>
                <c:pt idx="0">
                  <c:v>0.11523330368969946</c:v>
                </c:pt>
                <c:pt idx="1">
                  <c:v>0.13325165197930081</c:v>
                </c:pt>
                <c:pt idx="2">
                  <c:v>0.14261532512015951</c:v>
                </c:pt>
                <c:pt idx="3">
                  <c:v>0.14609926437984669</c:v>
                </c:pt>
                <c:pt idx="4">
                  <c:v>0.14926812004068962</c:v>
                </c:pt>
                <c:pt idx="5">
                  <c:v>0.15022514872963499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D5-4B37-AD6B-B52BA98F080F}"/>
            </c:ext>
          </c:extLst>
        </c:ser>
        <c:ser>
          <c:idx val="1"/>
          <c:order val="1"/>
          <c:tx>
            <c:strRef>
              <c:f>ChartsWorksheet!$B$102</c:f>
              <c:strCache>
                <c:ptCount val="1"/>
                <c:pt idx="0">
                  <c:v>2-to-4 Unit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ChartsWorksheet!$C$100:$H$100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ChartsWorksheet!$C$102:$H$102</c:f>
              <c:numCache>
                <c:formatCode>General</c:formatCode>
                <c:ptCount val="6"/>
                <c:pt idx="0">
                  <c:v>0.35651092357539577</c:v>
                </c:pt>
                <c:pt idx="1">
                  <c:v>0.33182677441748937</c:v>
                </c:pt>
                <c:pt idx="2">
                  <c:v>0.3186608474669908</c:v>
                </c:pt>
                <c:pt idx="3">
                  <c:v>0.31791293646996482</c:v>
                </c:pt>
                <c:pt idx="4">
                  <c:v>0.3036560886137652</c:v>
                </c:pt>
                <c:pt idx="5">
                  <c:v>0.30849429732779698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C-4102-9465-C207C24BB484}"/>
            </c:ext>
          </c:extLst>
        </c:ser>
        <c:ser>
          <c:idx val="2"/>
          <c:order val="2"/>
          <c:tx>
            <c:strRef>
              <c:f>ChartsWorksheet!$B$103</c:f>
              <c:strCache>
                <c:ptCount val="1"/>
                <c:pt idx="0">
                  <c:v>5-to-49 Unit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ChartsWorksheet!$C$100:$H$100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ChartsWorksheet!$C$103:$H$103</c:f>
              <c:numCache>
                <c:formatCode>General</c:formatCode>
                <c:ptCount val="6"/>
                <c:pt idx="0">
                  <c:v>0.34247476663412058</c:v>
                </c:pt>
                <c:pt idx="1">
                  <c:v>0.33897799186838257</c:v>
                </c:pt>
                <c:pt idx="2">
                  <c:v>0.34931771725318977</c:v>
                </c:pt>
                <c:pt idx="3">
                  <c:v>0.34487983630015578</c:v>
                </c:pt>
                <c:pt idx="4">
                  <c:v>0.35524648770356981</c:v>
                </c:pt>
                <c:pt idx="5">
                  <c:v>0.34680573663624537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C-4102-9465-C207C24BB484}"/>
            </c:ext>
          </c:extLst>
        </c:ser>
        <c:ser>
          <c:idx val="3"/>
          <c:order val="3"/>
          <c:tx>
            <c:strRef>
              <c:f>ChartsWorksheet!$B$104</c:f>
              <c:strCache>
                <c:ptCount val="1"/>
                <c:pt idx="0">
                  <c:v>50+ Units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ChartsWorksheet!$C$100:$H$100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ChartsWorksheet!$C$104:$H$104</c:f>
              <c:numCache>
                <c:formatCode>General</c:formatCode>
                <c:ptCount val="6"/>
                <c:pt idx="0">
                  <c:v>0.18578100610078416</c:v>
                </c:pt>
                <c:pt idx="1">
                  <c:v>0.1959435817348272</c:v>
                </c:pt>
                <c:pt idx="2">
                  <c:v>0.18940611015965994</c:v>
                </c:pt>
                <c:pt idx="3">
                  <c:v>0.19110796285003268</c:v>
                </c:pt>
                <c:pt idx="4">
                  <c:v>0.19182930364197548</c:v>
                </c:pt>
                <c:pt idx="5">
                  <c:v>0.19447481730632266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C-4102-9465-C207C24BB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5562280"/>
        <c:axId val="705564248"/>
      </c:barChart>
      <c:catAx>
        <c:axId val="705562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64248"/>
        <c:crosses val="autoZero"/>
        <c:auto val="1"/>
        <c:lblAlgn val="ctr"/>
        <c:lblOffset val="100"/>
        <c:noMultiLvlLbl val="0"/>
      </c:catAx>
      <c:valAx>
        <c:axId val="705564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622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0-30% 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1"/>
          <c:tx>
            <c:strRef>
              <c:f>ChartsWorksheet!$B$127</c:f>
              <c:strCache>
                <c:ptCount val="1"/>
                <c:pt idx="0">
                  <c:v>More than 50% Income Spent on Rent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ChartsWorksheet!$C$124:$H$124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ChartsWorksheet!$C$127:$H$127</c:f>
              <c:numCache>
                <c:formatCode>General</c:formatCode>
                <c:ptCount val="6"/>
                <c:pt idx="0">
                  <c:v>0.75101097372141556</c:v>
                </c:pt>
                <c:pt idx="1">
                  <c:v>0.77923077829586407</c:v>
                </c:pt>
                <c:pt idx="2">
                  <c:v>0.78763191186125836</c:v>
                </c:pt>
                <c:pt idx="3">
                  <c:v>0.75969986878602158</c:v>
                </c:pt>
                <c:pt idx="4">
                  <c:v>0.79123914759273872</c:v>
                </c:pt>
                <c:pt idx="5">
                  <c:v>0.74310220281142836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297-453D-A6A7-7DDB6E9ED194}"/>
            </c:ext>
          </c:extLst>
        </c:ser>
        <c:ser>
          <c:idx val="0"/>
          <c:order val="2"/>
          <c:tx>
            <c:strRef>
              <c:f>ChartsWorksheet!$B$126</c:f>
              <c:strCache>
                <c:ptCount val="1"/>
                <c:pt idx="0">
                  <c:v>30-50% Income Spent on Rent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ChartsWorksheet!$C$124:$H$124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ChartsWorksheet!$C$126:$H$126</c:f>
              <c:numCache>
                <c:formatCode>General</c:formatCode>
                <c:ptCount val="6"/>
                <c:pt idx="0">
                  <c:v>0.13609209847175788</c:v>
                </c:pt>
                <c:pt idx="1">
                  <c:v>0.11336808488072031</c:v>
                </c:pt>
                <c:pt idx="2">
                  <c:v>0.11003330824539211</c:v>
                </c:pt>
                <c:pt idx="3">
                  <c:v>0.11164399488431581</c:v>
                </c:pt>
                <c:pt idx="4">
                  <c:v>0.11035029975314446</c:v>
                </c:pt>
                <c:pt idx="5">
                  <c:v>0.13167880302564824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297-453D-A6A7-7DDB6E9ED194}"/>
            </c:ext>
          </c:extLst>
        </c:ser>
        <c:ser>
          <c:idx val="3"/>
          <c:order val="3"/>
          <c:tx>
            <c:strRef>
              <c:f>ChartsWorksheet!$B$125</c:f>
              <c:strCache>
                <c:ptCount val="1"/>
                <c:pt idx="0">
                  <c:v>Not Rent-Burdened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ChartsWorksheet!$C$124:$H$124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ChartsWorksheet!$C$125:$H$125</c:f>
              <c:numCache>
                <c:formatCode>General</c:formatCode>
                <c:ptCount val="6"/>
                <c:pt idx="0">
                  <c:v>0.11289692780682659</c:v>
                </c:pt>
                <c:pt idx="1">
                  <c:v>0.10740113682341551</c:v>
                </c:pt>
                <c:pt idx="2">
                  <c:v>0.10233477989334955</c:v>
                </c:pt>
                <c:pt idx="3">
                  <c:v>0.12865613632966263</c:v>
                </c:pt>
                <c:pt idx="4">
                  <c:v>9.8410552654116731E-2</c:v>
                </c:pt>
                <c:pt idx="5">
                  <c:v>0.12521899416292351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297-453D-A6A7-7DDB6E9ED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83184"/>
        <c:axId val="711483512"/>
        <c:extLst>
          <c:ext xmlns:c15="http://schemas.microsoft.com/office/drawing/2012/chart" uri="{02D57815-91ED-43cb-92C2-25804820EDAC}">
            <c15:filteredArea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ChartsWorksheet!$B$124</c15:sqref>
                        </c15:formulaRef>
                      </c:ext>
                    </c:extLst>
                    <c:strCache>
                      <c:ptCount val="1"/>
                      <c:pt idx="0">
                        <c:v>&lt;30% AMI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ChartsWorksheet!$C$124:$H$124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ChartsWorksheet!$C$124:$H$124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5297-453D-A6A7-7DDB6E9ED194}"/>
                  </c:ext>
                </c:extLst>
              </c15:ser>
            </c15:filteredAreaSeries>
          </c:ext>
        </c:extLst>
      </c:areaChart>
      <c:catAx>
        <c:axId val="7114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512"/>
        <c:crosses val="autoZero"/>
        <c:auto val="1"/>
        <c:lblAlgn val="ctr"/>
        <c:lblOffset val="100"/>
        <c:noMultiLvlLbl val="0"/>
      </c:catAx>
      <c:valAx>
        <c:axId val="7114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1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30-50% 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3"/>
          <c:order val="1"/>
          <c:tx>
            <c:strRef>
              <c:f>ChartsWorksheet!$B$132</c:f>
              <c:strCache>
                <c:ptCount val="1"/>
                <c:pt idx="0">
                  <c:v>More than 50% Income Spent on Rent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ChartsWorksheet!$C$124:$H$124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ChartsWorksheet!$C$132:$H$132</c:f>
              <c:numCache>
                <c:formatCode>General</c:formatCode>
                <c:ptCount val="6"/>
                <c:pt idx="0">
                  <c:v>0.28751788046520305</c:v>
                </c:pt>
                <c:pt idx="1">
                  <c:v>0.36955856241964119</c:v>
                </c:pt>
                <c:pt idx="2">
                  <c:v>0.32893029838424365</c:v>
                </c:pt>
                <c:pt idx="3">
                  <c:v>0.38996347994283798</c:v>
                </c:pt>
                <c:pt idx="4">
                  <c:v>0.33691939244973862</c:v>
                </c:pt>
                <c:pt idx="5">
                  <c:v>0.34642598281158321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490-4FA4-A7C6-064F7B26DD4C}"/>
            </c:ext>
          </c:extLst>
        </c:ser>
        <c:ser>
          <c:idx val="2"/>
          <c:order val="2"/>
          <c:tx>
            <c:strRef>
              <c:f>ChartsWorksheet!$B$131</c:f>
              <c:strCache>
                <c:ptCount val="1"/>
                <c:pt idx="0">
                  <c:v>30-50% Income Spent on Rent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ChartsWorksheet!$C$124:$H$124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ChartsWorksheet!$C$131:$H$131</c:f>
              <c:numCache>
                <c:formatCode>General</c:formatCode>
                <c:ptCount val="6"/>
                <c:pt idx="0">
                  <c:v>0.53241806082467824</c:v>
                </c:pt>
                <c:pt idx="1">
                  <c:v>0.47559388967121791</c:v>
                </c:pt>
                <c:pt idx="2">
                  <c:v>0.51138105908715614</c:v>
                </c:pt>
                <c:pt idx="3">
                  <c:v>0.46048472075869362</c:v>
                </c:pt>
                <c:pt idx="4">
                  <c:v>0.5101531480431083</c:v>
                </c:pt>
                <c:pt idx="5">
                  <c:v>0.49067752735305292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0-4FA4-A7C6-064F7B26DD4C}"/>
            </c:ext>
          </c:extLst>
        </c:ser>
        <c:ser>
          <c:idx val="1"/>
          <c:order val="3"/>
          <c:tx>
            <c:strRef>
              <c:f>ChartsWorksheet!$B$130</c:f>
              <c:strCache>
                <c:ptCount val="1"/>
                <c:pt idx="0">
                  <c:v>Not Rent-Burdened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ChartsWorksheet!$C$124:$H$124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ChartsWorksheet!$C$130:$H$130</c:f>
              <c:numCache>
                <c:formatCode>General</c:formatCode>
                <c:ptCount val="6"/>
                <c:pt idx="0">
                  <c:v>0.18006405871011871</c:v>
                </c:pt>
                <c:pt idx="1">
                  <c:v>0.15484754790914099</c:v>
                </c:pt>
                <c:pt idx="2">
                  <c:v>0.15968864252860016</c:v>
                </c:pt>
                <c:pt idx="3">
                  <c:v>0.14955179929846835</c:v>
                </c:pt>
                <c:pt idx="4">
                  <c:v>0.15292745950715322</c:v>
                </c:pt>
                <c:pt idx="5">
                  <c:v>0.16289648983536392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0-4FA4-A7C6-064F7B26D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83184"/>
        <c:axId val="71148351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ChartsWorksheet!$B$129</c15:sqref>
                        </c15:formulaRef>
                      </c:ext>
                    </c:extLst>
                    <c:strCache>
                      <c:ptCount val="1"/>
                      <c:pt idx="0">
                        <c:v>30-50% AMI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ChartsWorksheet!$C$124:$H$124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ChartsWorksheet!$C$129:$H$129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490-4FA4-A7C6-064F7B26DD4C}"/>
                  </c:ext>
                </c:extLst>
              </c15:ser>
            </c15:filteredAreaSeries>
          </c:ext>
        </c:extLst>
      </c:areaChart>
      <c:catAx>
        <c:axId val="7114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512"/>
        <c:crosses val="autoZero"/>
        <c:auto val="1"/>
        <c:lblAlgn val="ctr"/>
        <c:lblOffset val="100"/>
        <c:noMultiLvlLbl val="0"/>
      </c:catAx>
      <c:valAx>
        <c:axId val="7114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1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50-80% 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1"/>
          <c:tx>
            <c:strRef>
              <c:f>ChartsWorksheet!$B$137</c:f>
              <c:strCache>
                <c:ptCount val="1"/>
                <c:pt idx="0">
                  <c:v>More than 50% Income Spent on Rent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ChartsWorksheet!$C$134:$H$134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ChartsWorksheet!$C$137:$H$137</c:f>
              <c:numCache>
                <c:formatCode>General</c:formatCode>
                <c:ptCount val="6"/>
                <c:pt idx="0">
                  <c:v>5.794367896594519E-2</c:v>
                </c:pt>
                <c:pt idx="1">
                  <c:v>7.4941216411623421E-2</c:v>
                </c:pt>
                <c:pt idx="2">
                  <c:v>6.7821798898909005E-2</c:v>
                </c:pt>
                <c:pt idx="3">
                  <c:v>8.531320372566524E-2</c:v>
                </c:pt>
                <c:pt idx="4">
                  <c:v>9.3602753470414149E-2</c:v>
                </c:pt>
                <c:pt idx="5">
                  <c:v>8.417277071067468E-2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E-4247-8978-D9FB5915F02F}"/>
            </c:ext>
          </c:extLst>
        </c:ser>
        <c:ser>
          <c:idx val="0"/>
          <c:order val="2"/>
          <c:tx>
            <c:strRef>
              <c:f>ChartsWorksheet!$B$136</c:f>
              <c:strCache>
                <c:ptCount val="1"/>
                <c:pt idx="0">
                  <c:v>30-50% Income Spent on Rent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ChartsWorksheet!$C$134:$H$134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ChartsWorksheet!$C$136:$H$136</c:f>
              <c:numCache>
                <c:formatCode>General</c:formatCode>
                <c:ptCount val="6"/>
                <c:pt idx="0">
                  <c:v>0.36422830752588259</c:v>
                </c:pt>
                <c:pt idx="1">
                  <c:v>0.40802726049617127</c:v>
                </c:pt>
                <c:pt idx="2">
                  <c:v>0.39063059411625622</c:v>
                </c:pt>
                <c:pt idx="3">
                  <c:v>0.43403467160579345</c:v>
                </c:pt>
                <c:pt idx="4">
                  <c:v>0.3878799039841499</c:v>
                </c:pt>
                <c:pt idx="5">
                  <c:v>0.37119101350243999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E-4247-8978-D9FB5915F02F}"/>
            </c:ext>
          </c:extLst>
        </c:ser>
        <c:ser>
          <c:idx val="3"/>
          <c:order val="3"/>
          <c:tx>
            <c:strRef>
              <c:f>ChartsWorksheet!$B$135</c:f>
              <c:strCache>
                <c:ptCount val="1"/>
                <c:pt idx="0">
                  <c:v>Not Rent-Burdened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ChartsWorksheet!$C$134:$H$134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ChartsWorksheet!$C$135:$H$135</c:f>
              <c:numCache>
                <c:formatCode>General</c:formatCode>
                <c:ptCount val="6"/>
                <c:pt idx="0">
                  <c:v>0.57782801350817214</c:v>
                </c:pt>
                <c:pt idx="1">
                  <c:v>0.51703152309220535</c:v>
                </c:pt>
                <c:pt idx="2">
                  <c:v>0.54154760698483484</c:v>
                </c:pt>
                <c:pt idx="3">
                  <c:v>0.48065212466854124</c:v>
                </c:pt>
                <c:pt idx="4">
                  <c:v>0.51851734254543602</c:v>
                </c:pt>
                <c:pt idx="5">
                  <c:v>0.54463621578688526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DE-4247-8978-D9FB5915F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83184"/>
        <c:axId val="711483512"/>
        <c:extLst>
          <c:ext xmlns:c15="http://schemas.microsoft.com/office/drawing/2012/chart" uri="{02D57815-91ED-43cb-92C2-25804820EDAC}">
            <c15:filteredArea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ChartsWorksheet!$B$134</c15:sqref>
                        </c15:formulaRef>
                      </c:ext>
                    </c:extLst>
                    <c:strCache>
                      <c:ptCount val="1"/>
                      <c:pt idx="0">
                        <c:v>50 to 80% AMI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ChartsWorksheet!$C$134:$H$134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ChartsWorksheet!$C$134:$H$134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6DE-4247-8978-D9FB5915F02F}"/>
                  </c:ext>
                </c:extLst>
              </c15:ser>
            </c15:filteredAreaSeries>
          </c:ext>
        </c:extLst>
      </c:areaChart>
      <c:catAx>
        <c:axId val="7114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512"/>
        <c:crosses val="autoZero"/>
        <c:auto val="1"/>
        <c:lblAlgn val="ctr"/>
        <c:lblOffset val="100"/>
        <c:noMultiLvlLbl val="0"/>
      </c:catAx>
      <c:valAx>
        <c:axId val="7114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1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80-120% 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3"/>
          <c:order val="1"/>
          <c:tx>
            <c:strRef>
              <c:f>ChartsWorksheet!$B$142</c:f>
              <c:strCache>
                <c:ptCount val="1"/>
                <c:pt idx="0">
                  <c:v>More than 50% Income Spent on Rent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ChartsWorksheet!$C$139:$H$139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ChartsWorksheet!$C$142:$H$142</c:f>
              <c:numCache>
                <c:formatCode>General</c:formatCode>
                <c:ptCount val="6"/>
                <c:pt idx="0">
                  <c:v>1.0326324833433313E-2</c:v>
                </c:pt>
                <c:pt idx="1">
                  <c:v>1.4652769761036993E-2</c:v>
                </c:pt>
                <c:pt idx="2">
                  <c:v>1.3397052502750069E-2</c:v>
                </c:pt>
                <c:pt idx="3">
                  <c:v>2.0328621102434011E-2</c:v>
                </c:pt>
                <c:pt idx="4">
                  <c:v>1.2028135990621334E-2</c:v>
                </c:pt>
                <c:pt idx="5">
                  <c:v>2.1210069457652105E-2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A-4C98-98AE-CA947CFD0B9A}"/>
            </c:ext>
          </c:extLst>
        </c:ser>
        <c:ser>
          <c:idx val="0"/>
          <c:order val="2"/>
          <c:tx>
            <c:strRef>
              <c:f>ChartsWorksheet!$B$141</c:f>
              <c:strCache>
                <c:ptCount val="1"/>
                <c:pt idx="0">
                  <c:v>30-50% Income Spent on Rent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ChartsWorksheet!$C$139:$H$139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ChartsWorksheet!$C$141:$H$141</c:f>
              <c:numCache>
                <c:formatCode>General</c:formatCode>
                <c:ptCount val="6"/>
                <c:pt idx="0">
                  <c:v>0.10585698769594905</c:v>
                </c:pt>
                <c:pt idx="1">
                  <c:v>0.14642050233355869</c:v>
                </c:pt>
                <c:pt idx="2">
                  <c:v>0.1662866342728509</c:v>
                </c:pt>
                <c:pt idx="3">
                  <c:v>0.19516331300233694</c:v>
                </c:pt>
                <c:pt idx="4">
                  <c:v>0.18669792887846814</c:v>
                </c:pt>
                <c:pt idx="5">
                  <c:v>0.16041446362412204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6A-4C98-98AE-CA947CFD0B9A}"/>
            </c:ext>
          </c:extLst>
        </c:ser>
        <c:ser>
          <c:idx val="1"/>
          <c:order val="3"/>
          <c:tx>
            <c:strRef>
              <c:f>ChartsWorksheet!$B$140</c:f>
              <c:strCache>
                <c:ptCount val="1"/>
                <c:pt idx="0">
                  <c:v>Not Rent-Burdened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ChartsWorksheet!$C$139:$H$139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ChartsWorksheet!$C$140:$H$140</c:f>
              <c:numCache>
                <c:formatCode>General</c:formatCode>
                <c:ptCount val="6"/>
                <c:pt idx="0">
                  <c:v>0.88381668747061759</c:v>
                </c:pt>
                <c:pt idx="1">
                  <c:v>0.83892672790540423</c:v>
                </c:pt>
                <c:pt idx="2">
                  <c:v>0.82031631322439913</c:v>
                </c:pt>
                <c:pt idx="3">
                  <c:v>0.78450806589522903</c:v>
                </c:pt>
                <c:pt idx="4">
                  <c:v>0.80127393513091061</c:v>
                </c:pt>
                <c:pt idx="5">
                  <c:v>0.81837546691822571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6A-4C98-98AE-CA947CFD0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83184"/>
        <c:axId val="711483512"/>
        <c:extLst>
          <c:ext xmlns:c15="http://schemas.microsoft.com/office/drawing/2012/chart" uri="{02D57815-91ED-43cb-92C2-25804820EDAC}">
            <c15:filteredArea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ChartsWorksheet!$B$139</c15:sqref>
                        </c15:formulaRef>
                      </c:ext>
                    </c:extLst>
                    <c:strCache>
                      <c:ptCount val="1"/>
                      <c:pt idx="0">
                        <c:v>80 to 120% AMI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ChartsWorksheet!$C$139:$H$139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ChartsWorksheet!$C$139:$H$139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06A-4C98-98AE-CA947CFD0B9A}"/>
                  </c:ext>
                </c:extLst>
              </c15:ser>
            </c15:filteredAreaSeries>
          </c:ext>
        </c:extLst>
      </c:areaChart>
      <c:catAx>
        <c:axId val="7114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512"/>
        <c:crosses val="autoZero"/>
        <c:auto val="1"/>
        <c:lblAlgn val="ctr"/>
        <c:lblOffset val="100"/>
        <c:noMultiLvlLbl val="0"/>
      </c:catAx>
      <c:valAx>
        <c:axId val="7114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1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120%+ AMI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1"/>
          <c:tx>
            <c:strRef>
              <c:f>ChartsWorksheet!$B$147</c:f>
              <c:strCache>
                <c:ptCount val="1"/>
                <c:pt idx="0">
                  <c:v>More than 50% Income Spent on Rent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ChartsWorksheet!$C$144:$H$144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ChartsWorksheet!$C$147:$H$147</c:f>
              <c:numCache>
                <c:formatCode>General</c:formatCode>
                <c:ptCount val="6"/>
                <c:pt idx="0">
                  <c:v>0</c:v>
                </c:pt>
                <c:pt idx="1">
                  <c:v>4.1117411689618776E-4</c:v>
                </c:pt>
                <c:pt idx="2">
                  <c:v>6.7082540192188542E-4</c:v>
                </c:pt>
                <c:pt idx="3">
                  <c:v>1.7906421945566738E-3</c:v>
                </c:pt>
                <c:pt idx="4">
                  <c:v>0</c:v>
                </c:pt>
                <c:pt idx="5">
                  <c:v>3.8455375741067123E-4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1-454D-9CFF-804228CEB046}"/>
            </c:ext>
          </c:extLst>
        </c:ser>
        <c:ser>
          <c:idx val="0"/>
          <c:order val="2"/>
          <c:tx>
            <c:strRef>
              <c:f>ChartsWorksheet!$B$146</c:f>
              <c:strCache>
                <c:ptCount val="1"/>
                <c:pt idx="0">
                  <c:v>30-50% Income Spent on Rent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ChartsWorksheet!$C$144:$H$144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ChartsWorksheet!$C$146:$H$146</c:f>
              <c:numCache>
                <c:formatCode>General</c:formatCode>
                <c:ptCount val="6"/>
                <c:pt idx="0">
                  <c:v>2.6918261491683061E-2</c:v>
                </c:pt>
                <c:pt idx="1">
                  <c:v>4.8426491886982358E-2</c:v>
                </c:pt>
                <c:pt idx="2">
                  <c:v>3.7440084397862498E-2</c:v>
                </c:pt>
                <c:pt idx="3">
                  <c:v>3.7161492126274266E-2</c:v>
                </c:pt>
                <c:pt idx="4">
                  <c:v>4.2531080404911256E-2</c:v>
                </c:pt>
                <c:pt idx="5">
                  <c:v>3.5475084121134426E-2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1-454D-9CFF-804228CEB046}"/>
            </c:ext>
          </c:extLst>
        </c:ser>
        <c:ser>
          <c:idx val="3"/>
          <c:order val="3"/>
          <c:tx>
            <c:strRef>
              <c:f>ChartsWorksheet!$B$145</c:f>
              <c:strCache>
                <c:ptCount val="1"/>
                <c:pt idx="0">
                  <c:v>Not Rent-Burdened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numRef>
              <c:f>ChartsWorksheet!$C$144:$H$144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ChartsWorksheet!$C$145:$H$145</c:f>
              <c:numCache>
                <c:formatCode>General</c:formatCode>
                <c:ptCount val="6"/>
                <c:pt idx="0">
                  <c:v>0.97308173850831692</c:v>
                </c:pt>
                <c:pt idx="1">
                  <c:v>0.95116233399612149</c:v>
                </c:pt>
                <c:pt idx="2">
                  <c:v>0.96188909020021562</c:v>
                </c:pt>
                <c:pt idx="3">
                  <c:v>0.96104786567916911</c:v>
                </c:pt>
                <c:pt idx="4">
                  <c:v>0.95746891959508873</c:v>
                </c:pt>
                <c:pt idx="5">
                  <c:v>0.96414036212145493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91-454D-9CFF-804228CEB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83184"/>
        <c:axId val="711483512"/>
        <c:extLst>
          <c:ext xmlns:c15="http://schemas.microsoft.com/office/drawing/2012/chart" uri="{02D57815-91ED-43cb-92C2-25804820EDAC}">
            <c15:filteredArea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ChartsWorksheet!$B$144</c15:sqref>
                        </c15:formulaRef>
                      </c:ext>
                    </c:extLst>
                    <c:strCache>
                      <c:ptCount val="1"/>
                      <c:pt idx="0">
                        <c:v>Greater than 120% AMI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ChartsWorksheet!$C$144:$H$144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ChartsWorksheet!$C$144:$H$144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2007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A91-454D-9CFF-804228CEB046}"/>
                  </c:ext>
                </c:extLst>
              </c15:ser>
            </c15:filteredAreaSeries>
          </c:ext>
        </c:extLst>
      </c:areaChart>
      <c:catAx>
        <c:axId val="7114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512"/>
        <c:crosses val="autoZero"/>
        <c:auto val="1"/>
        <c:lblAlgn val="ctr"/>
        <c:lblOffset val="100"/>
        <c:noMultiLvlLbl val="0"/>
      </c:catAx>
      <c:valAx>
        <c:axId val="71148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831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Changing Gap between the Supply of and Demand for Affordable Housing</a:t>
            </a:r>
          </a:p>
          <a:p>
            <a:pPr>
              <a:defRPr/>
            </a:pPr>
            <a:r>
              <a:rPr lang="en-US" sz="1000"/>
              <a:t>Cook County - 2007 to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Supply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ChartsWorksheet!$C$158:$C$163</c:f>
              <c:numCache>
                <c:formatCode>General</c:formatCode>
                <c:ptCount val="6"/>
                <c:pt idx="0">
                  <c:v>297588</c:v>
                </c:pt>
                <c:pt idx="1">
                  <c:v>346898</c:v>
                </c:pt>
                <c:pt idx="2">
                  <c:v>352489</c:v>
                </c:pt>
                <c:pt idx="3">
                  <c:v>334767</c:v>
                </c:pt>
                <c:pt idx="4">
                  <c:v>325819</c:v>
                </c:pt>
                <c:pt idx="5">
                  <c:v>316029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479-4986-80F2-9BE95EF7B5C4}"/>
            </c:ext>
          </c:extLst>
        </c:ser>
        <c:ser>
          <c:idx val="4"/>
          <c:order val="4"/>
          <c:tx>
            <c:v>Gap</c:v>
          </c:tx>
          <c:spPr>
            <a:noFill/>
            <a:ln w="15875">
              <a:solidFill>
                <a:srgbClr val="C00000"/>
              </a:solidFill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ChartsWorksheet!$G$158:$G$163</c:f>
              <c:numCache>
                <c:formatCode>General</c:formatCode>
                <c:ptCount val="6"/>
                <c:pt idx="0">
                  <c:v>157273</c:v>
                </c:pt>
                <c:pt idx="1">
                  <c:v>176213</c:v>
                </c:pt>
                <c:pt idx="2">
                  <c:v>168298</c:v>
                </c:pt>
                <c:pt idx="3">
                  <c:v>176318</c:v>
                </c:pt>
                <c:pt idx="4">
                  <c:v>187848</c:v>
                </c:pt>
                <c:pt idx="5">
                  <c:v>181794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479-4986-80F2-9BE95EF7B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2"/>
        <c:overlap val="100"/>
        <c:axId val="666429688"/>
        <c:axId val="666421816"/>
      </c:barChart>
      <c:barChart>
        <c:barDir val="col"/>
        <c:grouping val="clustered"/>
        <c:varyColors val="0"/>
        <c:ser>
          <c:idx val="1"/>
          <c:order val="1"/>
          <c:tx>
            <c:strRef>
              <c:f>ChartsWorksheet!$D$157</c:f>
              <c:strCache>
                <c:ptCount val="1"/>
                <c:pt idx="0">
                  <c:v>blank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ChartsWorksheet!$D$158:$D$163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79-4986-80F2-9BE95EF7B5C4}"/>
            </c:ext>
          </c:extLst>
        </c:ser>
        <c:ser>
          <c:idx val="2"/>
          <c:order val="2"/>
          <c:tx>
            <c:strRef>
              <c:f>ChartsWorksheet!$E$157</c:f>
              <c:strCache>
                <c:ptCount val="1"/>
                <c:pt idx="0">
                  <c:v>blank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9-7479-4986-80F2-9BE95EF7B5C4}"/>
            </c:ext>
          </c:extLst>
        </c:ser>
        <c:ser>
          <c:idx val="3"/>
          <c:order val="3"/>
          <c:tx>
            <c:v>Demand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ChartsWorksheet!$F$158:$F$163</c:f>
              <c:numCache>
                <c:formatCode>General</c:formatCode>
                <c:ptCount val="6"/>
                <c:pt idx="0">
                  <c:v>454861</c:v>
                </c:pt>
                <c:pt idx="1">
                  <c:v>523111</c:v>
                </c:pt>
                <c:pt idx="2">
                  <c:v>520787</c:v>
                </c:pt>
                <c:pt idx="3">
                  <c:v>511085</c:v>
                </c:pt>
                <c:pt idx="4">
                  <c:v>513667</c:v>
                </c:pt>
                <c:pt idx="5">
                  <c:v>497823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79-4986-80F2-9BE95EF7B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4060776"/>
        <c:axId val="666424112"/>
      </c:barChart>
      <c:catAx>
        <c:axId val="66642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21816"/>
        <c:crosses val="autoZero"/>
        <c:auto val="1"/>
        <c:lblAlgn val="ctr"/>
        <c:lblOffset val="100"/>
        <c:noMultiLvlLbl val="0"/>
      </c:catAx>
      <c:valAx>
        <c:axId val="66642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]#,##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29688"/>
        <c:crosses val="autoZero"/>
        <c:crossBetween val="between"/>
        <c:majorUnit val="200000"/>
      </c:valAx>
      <c:valAx>
        <c:axId val="66642411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04060776"/>
        <c:crosses val="max"/>
        <c:crossBetween val="between"/>
      </c:valAx>
      <c:catAx>
        <c:axId val="604060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42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Changing Gap between the Supply of and Demand for Affordable Housing</a:t>
            </a:r>
          </a:p>
          <a:p>
            <a:pPr>
              <a:defRPr/>
            </a:pPr>
            <a:r>
              <a:rPr lang="en-US" sz="1000"/>
              <a:t>Suburban Cook County - 2012 to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Supply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ChartsWorksheet!$B$181:$B$185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ChartsWorksheet!$C$181:$C$185</c:f>
              <c:numCache>
                <c:formatCode>General</c:formatCode>
                <c:ptCount val="5"/>
                <c:pt idx="0">
                  <c:v>91526</c:v>
                </c:pt>
                <c:pt idx="1">
                  <c:v>93250</c:v>
                </c:pt>
                <c:pt idx="2">
                  <c:v>91526</c:v>
                </c:pt>
                <c:pt idx="3">
                  <c:v>88725</c:v>
                </c:pt>
                <c:pt idx="4">
                  <c:v>87159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5-47BA-AF76-DDF89273EE5B}"/>
            </c:ext>
          </c:extLst>
        </c:ser>
        <c:ser>
          <c:idx val="4"/>
          <c:order val="3"/>
          <c:tx>
            <c:v>Gap</c:v>
          </c:tx>
          <c:spPr>
            <a:solidFill>
              <a:sysClr val="window" lastClr="FFFFFF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ChartsWorksheet!$B$181:$B$185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ChartsWorksheet!$G$181:$G$185</c:f>
              <c:numCache>
                <c:formatCode>General</c:formatCode>
                <c:ptCount val="5"/>
                <c:pt idx="0">
                  <c:v>65574</c:v>
                </c:pt>
                <c:pt idx="1">
                  <c:v>60183</c:v>
                </c:pt>
                <c:pt idx="2">
                  <c:v>63187</c:v>
                </c:pt>
                <c:pt idx="3">
                  <c:v>70204</c:v>
                </c:pt>
                <c:pt idx="4">
                  <c:v>62392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5-47BA-AF76-DDF89273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2"/>
        <c:overlap val="100"/>
        <c:axId val="666429688"/>
        <c:axId val="666421816"/>
      </c:barChart>
      <c:barChart>
        <c:barDir val="col"/>
        <c:grouping val="clustered"/>
        <c:varyColors val="0"/>
        <c:ser>
          <c:idx val="1"/>
          <c:order val="1"/>
          <c:tx>
            <c:strRef>
              <c:f>ChartsWorksheet!$D$157</c:f>
              <c:strCache>
                <c:ptCount val="1"/>
                <c:pt idx="0">
                  <c:v>blank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ChartsWorksheet!$D$158:$D$163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85-47BA-AF76-DDF89273EE5B}"/>
            </c:ext>
          </c:extLst>
        </c:ser>
        <c:ser>
          <c:idx val="2"/>
          <c:order val="2"/>
          <c:tx>
            <c:strRef>
              <c:f>ChartsWorksheet!$E$157</c:f>
              <c:strCache>
                <c:ptCount val="1"/>
                <c:pt idx="0">
                  <c:v>blank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9585-47BA-AF76-DDF89273EE5B}"/>
            </c:ext>
          </c:extLst>
        </c:ser>
        <c:ser>
          <c:idx val="3"/>
          <c:order val="4"/>
          <c:tx>
            <c:v>Demand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ChartsWorksheet!$F$181:$F$185</c:f>
              <c:numCache>
                <c:formatCode>General</c:formatCode>
                <c:ptCount val="5"/>
                <c:pt idx="0">
                  <c:v>157100</c:v>
                </c:pt>
                <c:pt idx="1">
                  <c:v>153433</c:v>
                </c:pt>
                <c:pt idx="2">
                  <c:v>154713</c:v>
                </c:pt>
                <c:pt idx="3">
                  <c:v>158929</c:v>
                </c:pt>
                <c:pt idx="4">
                  <c:v>149551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85-47BA-AF76-DDF89273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4060776"/>
        <c:axId val="666424112"/>
      </c:barChart>
      <c:catAx>
        <c:axId val="66642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21816"/>
        <c:crosses val="autoZero"/>
        <c:auto val="1"/>
        <c:lblAlgn val="ctr"/>
        <c:lblOffset val="100"/>
        <c:noMultiLvlLbl val="0"/>
      </c:catAx>
      <c:valAx>
        <c:axId val="66642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]#,##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29688"/>
        <c:crosses val="autoZero"/>
        <c:crossBetween val="between"/>
        <c:majorUnit val="50000"/>
      </c:valAx>
      <c:valAx>
        <c:axId val="66642411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04060776"/>
        <c:crosses val="max"/>
        <c:crossBetween val="between"/>
      </c:valAx>
      <c:catAx>
        <c:axId val="604060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42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Changing Gap between the Supply of and Demand for Affordable Housing</a:t>
            </a:r>
          </a:p>
          <a:p>
            <a:pPr>
              <a:defRPr/>
            </a:pPr>
            <a:r>
              <a:rPr lang="en-US" sz="1000"/>
              <a:t>City of Chicago - 2012 to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Supply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ChartsWorksheet!$B$181:$B$185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ChartsWorksheet!$C$204:$C$208</c:f>
              <c:numCache>
                <c:formatCode>General</c:formatCode>
                <c:ptCount val="5"/>
                <c:pt idx="0">
                  <c:v>255372</c:v>
                </c:pt>
                <c:pt idx="1">
                  <c:v>259239</c:v>
                </c:pt>
                <c:pt idx="2">
                  <c:v>243241</c:v>
                </c:pt>
                <c:pt idx="3">
                  <c:v>237094</c:v>
                </c:pt>
                <c:pt idx="4">
                  <c:v>228870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8-4E02-BDB5-158881E8AE17}"/>
            </c:ext>
          </c:extLst>
        </c:ser>
        <c:ser>
          <c:idx val="4"/>
          <c:order val="3"/>
          <c:tx>
            <c:v>Gap</c:v>
          </c:tx>
          <c:spPr>
            <a:solidFill>
              <a:sysClr val="window" lastClr="FFFFFF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ChartsWorksheet!$B$181:$B$185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ChartsWorksheet!$G$204:$G$208</c:f>
              <c:numCache>
                <c:formatCode>General</c:formatCode>
                <c:ptCount val="5"/>
                <c:pt idx="0">
                  <c:v>110639</c:v>
                </c:pt>
                <c:pt idx="1">
                  <c:v>108115</c:v>
                </c:pt>
                <c:pt idx="2">
                  <c:v>113131</c:v>
                </c:pt>
                <c:pt idx="3">
                  <c:v>117644</c:v>
                </c:pt>
                <c:pt idx="4">
                  <c:v>119402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8-4E02-BDB5-158881E8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2"/>
        <c:overlap val="100"/>
        <c:axId val="666429688"/>
        <c:axId val="666421816"/>
      </c:barChart>
      <c:barChart>
        <c:barDir val="col"/>
        <c:grouping val="clustered"/>
        <c:varyColors val="0"/>
        <c:ser>
          <c:idx val="1"/>
          <c:order val="1"/>
          <c:tx>
            <c:strRef>
              <c:f>ChartsWorksheet!$D$157</c:f>
              <c:strCache>
                <c:ptCount val="1"/>
                <c:pt idx="0">
                  <c:v>blank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ChartsWorksheet!$D$158:$D$163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8-4E02-BDB5-158881E8AE17}"/>
            </c:ext>
          </c:extLst>
        </c:ser>
        <c:ser>
          <c:idx val="2"/>
          <c:order val="2"/>
          <c:tx>
            <c:strRef>
              <c:f>ChartsWorksheet!$E$157</c:f>
              <c:strCache>
                <c:ptCount val="1"/>
                <c:pt idx="0">
                  <c:v>blank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30D8-4E02-BDB5-158881E8AE17}"/>
            </c:ext>
          </c:extLst>
        </c:ser>
        <c:ser>
          <c:idx val="3"/>
          <c:order val="4"/>
          <c:tx>
            <c:v>Demand</c:v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[&gt;=1000]#,##0,&quot;k&quot;;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ChartsWorksheet!$B$158:$B$163</c:f>
              <c:numCache>
                <c:formatCode>General</c:formatCode>
                <c:ptCount val="6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</c:numCache>
            </c:numRef>
          </c:cat>
          <c:val>
            <c:numRef>
              <c:f>ChartsWorksheet!$F$204:$F$208</c:f>
              <c:numCache>
                <c:formatCode>General</c:formatCode>
                <c:ptCount val="5"/>
                <c:pt idx="0">
                  <c:v>366011</c:v>
                </c:pt>
                <c:pt idx="1">
                  <c:v>367354</c:v>
                </c:pt>
                <c:pt idx="2">
                  <c:v>356372</c:v>
                </c:pt>
                <c:pt idx="3">
                  <c:v>354738</c:v>
                </c:pt>
                <c:pt idx="4">
                  <c:v>348272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D8-4E02-BDB5-158881E8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04060776"/>
        <c:axId val="666424112"/>
      </c:barChart>
      <c:catAx>
        <c:axId val="66642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21816"/>
        <c:crosses val="autoZero"/>
        <c:auto val="1"/>
        <c:lblAlgn val="ctr"/>
        <c:lblOffset val="100"/>
        <c:noMultiLvlLbl val="0"/>
      </c:catAx>
      <c:valAx>
        <c:axId val="66642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Households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=1000]#,##0,&quot;k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429688"/>
        <c:crosses val="autoZero"/>
        <c:crossBetween val="between"/>
        <c:majorUnit val="100000"/>
      </c:valAx>
      <c:valAx>
        <c:axId val="66642411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604060776"/>
        <c:crosses val="max"/>
        <c:crossBetween val="between"/>
      </c:valAx>
      <c:catAx>
        <c:axId val="604060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424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9525</xdr:rowOff>
    </xdr:from>
    <xdr:to>
      <xdr:col>1</xdr:col>
      <xdr:colOff>2743199</xdr:colOff>
      <xdr:row>4</xdr:row>
      <xdr:rowOff>184715</xdr:rowOff>
    </xdr:to>
    <xdr:pic>
      <xdr:nvPicPr>
        <xdr:cNvPr id="2" name="Picture 1" descr="IHS_Excel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4" y="200025"/>
          <a:ext cx="2733675" cy="746690"/>
        </a:xfrm>
        <a:prstGeom prst="rect">
          <a:avLst/>
        </a:prstGeom>
      </xdr:spPr>
    </xdr:pic>
    <xdr:clientData/>
  </xdr:twoCellAnchor>
  <xdr:twoCellAnchor editAs="oneCell">
    <xdr:from>
      <xdr:col>1</xdr:col>
      <xdr:colOff>9524</xdr:colOff>
      <xdr:row>1</xdr:row>
      <xdr:rowOff>9525</xdr:rowOff>
    </xdr:from>
    <xdr:to>
      <xdr:col>1</xdr:col>
      <xdr:colOff>2743199</xdr:colOff>
      <xdr:row>4</xdr:row>
      <xdr:rowOff>184715</xdr:rowOff>
    </xdr:to>
    <xdr:pic>
      <xdr:nvPicPr>
        <xdr:cNvPr id="3" name="Picture 2" descr="IHS_Excel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4" y="200025"/>
          <a:ext cx="2733675" cy="746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9525</xdr:rowOff>
    </xdr:from>
    <xdr:to>
      <xdr:col>1</xdr:col>
      <xdr:colOff>2743199</xdr:colOff>
      <xdr:row>4</xdr:row>
      <xdr:rowOff>184715</xdr:rowOff>
    </xdr:to>
    <xdr:pic>
      <xdr:nvPicPr>
        <xdr:cNvPr id="2" name="Picture 1" descr="IHS_Excel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4" y="200025"/>
          <a:ext cx="2733675" cy="746690"/>
        </a:xfrm>
        <a:prstGeom prst="rect">
          <a:avLst/>
        </a:prstGeom>
      </xdr:spPr>
    </xdr:pic>
    <xdr:clientData/>
  </xdr:twoCellAnchor>
  <xdr:twoCellAnchor>
    <xdr:from>
      <xdr:col>5</xdr:col>
      <xdr:colOff>726269</xdr:colOff>
      <xdr:row>5</xdr:row>
      <xdr:rowOff>62707</xdr:rowOff>
    </xdr:from>
    <xdr:to>
      <xdr:col>8</xdr:col>
      <xdr:colOff>12688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170248</xdr:colOff>
      <xdr:row>5</xdr:row>
      <xdr:rowOff>97630</xdr:rowOff>
    </xdr:from>
    <xdr:to>
      <xdr:col>11</xdr:col>
      <xdr:colOff>588157</xdr:colOff>
      <xdr:row>26</xdr:row>
      <xdr:rowOff>11905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584594</xdr:colOff>
      <xdr:row>28</xdr:row>
      <xdr:rowOff>195263</xdr:rowOff>
    </xdr:from>
    <xdr:to>
      <xdr:col>11</xdr:col>
      <xdr:colOff>1002505</xdr:colOff>
      <xdr:row>49</xdr:row>
      <xdr:rowOff>119063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454308</xdr:colOff>
      <xdr:row>53</xdr:row>
      <xdr:rowOff>0</xdr:rowOff>
    </xdr:from>
    <xdr:to>
      <xdr:col>10</xdr:col>
      <xdr:colOff>865073</xdr:colOff>
      <xdr:row>74</xdr:row>
      <xdr:rowOff>21432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10714</xdr:colOff>
      <xdr:row>41</xdr:row>
      <xdr:rowOff>2380</xdr:rowOff>
    </xdr:from>
    <xdr:to>
      <xdr:col>15</xdr:col>
      <xdr:colOff>588167</xdr:colOff>
      <xdr:row>62</xdr:row>
      <xdr:rowOff>2380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363820</xdr:colOff>
      <xdr:row>76</xdr:row>
      <xdr:rowOff>2381</xdr:rowOff>
    </xdr:from>
    <xdr:to>
      <xdr:col>11</xdr:col>
      <xdr:colOff>787513</xdr:colOff>
      <xdr:row>96</xdr:row>
      <xdr:rowOff>183356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470295</xdr:colOff>
      <xdr:row>99</xdr:row>
      <xdr:rowOff>16668</xdr:rowOff>
    </xdr:from>
    <xdr:to>
      <xdr:col>11</xdr:col>
      <xdr:colOff>881062</xdr:colOff>
      <xdr:row>120</xdr:row>
      <xdr:rowOff>38098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359566</xdr:colOff>
      <xdr:row>122</xdr:row>
      <xdr:rowOff>190499</xdr:rowOff>
    </xdr:from>
    <xdr:to>
      <xdr:col>11</xdr:col>
      <xdr:colOff>776284</xdr:colOff>
      <xdr:row>143</xdr:row>
      <xdr:rowOff>180975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1076325</xdr:colOff>
      <xdr:row>128</xdr:row>
      <xdr:rowOff>0</xdr:rowOff>
    </xdr:from>
    <xdr:to>
      <xdr:col>15</xdr:col>
      <xdr:colOff>416718</xdr:colOff>
      <xdr:row>148</xdr:row>
      <xdr:rowOff>180975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609599</xdr:colOff>
      <xdr:row>133</xdr:row>
      <xdr:rowOff>0</xdr:rowOff>
    </xdr:from>
    <xdr:to>
      <xdr:col>18</xdr:col>
      <xdr:colOff>1173955</xdr:colOff>
      <xdr:row>154</xdr:row>
      <xdr:rowOff>9525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1457324</xdr:colOff>
      <xdr:row>138</xdr:row>
      <xdr:rowOff>2381</xdr:rowOff>
    </xdr:from>
    <xdr:to>
      <xdr:col>25</xdr:col>
      <xdr:colOff>297655</xdr:colOff>
      <xdr:row>158</xdr:row>
      <xdr:rowOff>183357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609599</xdr:colOff>
      <xdr:row>143</xdr:row>
      <xdr:rowOff>0</xdr:rowOff>
    </xdr:from>
    <xdr:to>
      <xdr:col>35</xdr:col>
      <xdr:colOff>526255</xdr:colOff>
      <xdr:row>163</xdr:row>
      <xdr:rowOff>180975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328611</xdr:colOff>
      <xdr:row>155</xdr:row>
      <xdr:rowOff>190499</xdr:rowOff>
    </xdr:from>
    <xdr:to>
      <xdr:col>10</xdr:col>
      <xdr:colOff>761999</xdr:colOff>
      <xdr:row>176</xdr:row>
      <xdr:rowOff>180974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299358</xdr:colOff>
      <xdr:row>179</xdr:row>
      <xdr:rowOff>0</xdr:rowOff>
    </xdr:from>
    <xdr:to>
      <xdr:col>10</xdr:col>
      <xdr:colOff>732746</xdr:colOff>
      <xdr:row>199</xdr:row>
      <xdr:rowOff>180975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299357</xdr:colOff>
      <xdr:row>202</xdr:row>
      <xdr:rowOff>0</xdr:rowOff>
    </xdr:from>
    <xdr:to>
      <xdr:col>10</xdr:col>
      <xdr:colOff>732745</xdr:colOff>
      <xdr:row>222</xdr:row>
      <xdr:rowOff>180975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7"/>
  <sheetViews>
    <sheetView tabSelected="1" zoomScaleNormal="100" workbookViewId="0"/>
  </sheetViews>
  <sheetFormatPr defaultRowHeight="15" x14ac:dyDescent="0.25"/>
  <cols>
    <col min="2" max="2" width="41.28515625" bestFit="1" customWidth="1"/>
    <col min="3" max="3" width="18.5703125" bestFit="1" customWidth="1"/>
    <col min="4" max="4" width="66" customWidth="1"/>
    <col min="5" max="6" width="35.7109375" bestFit="1" customWidth="1"/>
    <col min="7" max="7" width="30" bestFit="1" customWidth="1"/>
    <col min="8" max="8" width="34.85546875" bestFit="1" customWidth="1"/>
    <col min="9" max="9" width="21" bestFit="1" customWidth="1"/>
    <col min="10" max="10" width="27.7109375" bestFit="1" customWidth="1"/>
    <col min="11" max="11" width="34.85546875" bestFit="1" customWidth="1"/>
    <col min="12" max="12" width="18.5703125" bestFit="1" customWidth="1"/>
    <col min="13" max="13" width="27.7109375" bestFit="1" customWidth="1"/>
    <col min="14" max="14" width="34.85546875" bestFit="1" customWidth="1"/>
    <col min="15" max="15" width="18.5703125" bestFit="1" customWidth="1"/>
    <col min="16" max="16" width="27.7109375" bestFit="1" customWidth="1"/>
    <col min="17" max="17" width="34.85546875" bestFit="1" customWidth="1"/>
    <col min="18" max="18" width="19.140625" customWidth="1"/>
    <col min="19" max="19" width="27.42578125" customWidth="1"/>
    <col min="20" max="20" width="34.42578125" customWidth="1"/>
  </cols>
  <sheetData>
    <row r="1" spans="1:1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6"/>
    </row>
    <row r="3" spans="1:11" x14ac:dyDescent="0.25">
      <c r="A3" s="6"/>
    </row>
    <row r="4" spans="1:11" x14ac:dyDescent="0.25">
      <c r="A4" s="6"/>
    </row>
    <row r="5" spans="1:11" x14ac:dyDescent="0.25">
      <c r="A5" s="6"/>
    </row>
    <row r="6" spans="1:11" x14ac:dyDescent="0.25">
      <c r="A6" s="6"/>
    </row>
    <row r="7" spans="1:11" ht="18.75" x14ac:dyDescent="0.3">
      <c r="A7" s="6"/>
      <c r="B7" s="134" t="s">
        <v>70</v>
      </c>
      <c r="C7" s="134"/>
      <c r="D7" s="134"/>
      <c r="E7" s="56"/>
      <c r="F7" s="56"/>
    </row>
    <row r="8" spans="1:11" x14ac:dyDescent="0.25">
      <c r="A8" s="6"/>
      <c r="B8" s="57"/>
    </row>
    <row r="9" spans="1:11" ht="15.75" thickBot="1" x14ac:dyDescent="0.3">
      <c r="A9" s="6"/>
    </row>
    <row r="10" spans="1:11" ht="15.75" thickBot="1" x14ac:dyDescent="0.3">
      <c r="A10" s="7"/>
      <c r="B10" s="135" t="s">
        <v>98</v>
      </c>
      <c r="C10" s="136"/>
      <c r="D10" s="137"/>
    </row>
    <row r="11" spans="1:11" x14ac:dyDescent="0.25">
      <c r="A11" s="6"/>
      <c r="B11" s="138" t="s">
        <v>71</v>
      </c>
      <c r="C11" s="139"/>
      <c r="D11" s="139"/>
      <c r="E11" s="140"/>
      <c r="F11" s="6"/>
      <c r="G11" s="6"/>
      <c r="H11" s="6"/>
      <c r="I11" s="6"/>
      <c r="J11" s="6"/>
      <c r="K11" s="6"/>
    </row>
    <row r="12" spans="1:11" ht="15" customHeight="1" thickBot="1" x14ac:dyDescent="0.3">
      <c r="A12" s="6"/>
      <c r="B12" s="5"/>
      <c r="C12" s="14" t="s">
        <v>0</v>
      </c>
      <c r="D12" s="14" t="s">
        <v>1</v>
      </c>
      <c r="E12" s="15" t="s">
        <v>2</v>
      </c>
      <c r="F12" s="6"/>
      <c r="G12" s="6"/>
      <c r="H12" s="6"/>
      <c r="I12" s="6"/>
      <c r="J12" s="6"/>
      <c r="K12" s="6"/>
    </row>
    <row r="13" spans="1:11" ht="15" customHeight="1" x14ac:dyDescent="0.25">
      <c r="A13" s="6"/>
      <c r="B13" s="29">
        <v>1990</v>
      </c>
      <c r="C13" s="74">
        <v>836596.01760000002</v>
      </c>
      <c r="D13" s="74">
        <v>1042938.571</v>
      </c>
      <c r="E13" s="50">
        <v>0.44500000000000001</v>
      </c>
      <c r="F13" s="6"/>
      <c r="G13" s="6"/>
      <c r="H13" s="6"/>
      <c r="I13" s="6"/>
      <c r="J13" s="6"/>
      <c r="K13" s="6"/>
    </row>
    <row r="14" spans="1:11" ht="15" customHeight="1" x14ac:dyDescent="0.25">
      <c r="A14" s="6"/>
      <c r="B14" s="29">
        <v>2000</v>
      </c>
      <c r="C14" s="74">
        <v>829336</v>
      </c>
      <c r="D14" s="74">
        <v>1142780</v>
      </c>
      <c r="E14" s="50">
        <v>0.42053104381283862</v>
      </c>
      <c r="F14" s="6"/>
      <c r="G14" s="6"/>
      <c r="H14" s="6"/>
      <c r="I14" s="6"/>
      <c r="J14" s="6"/>
      <c r="K14" s="6"/>
    </row>
    <row r="15" spans="1:11" ht="15" customHeight="1" x14ac:dyDescent="0.25">
      <c r="A15" s="6"/>
      <c r="B15" s="21">
        <v>2005</v>
      </c>
      <c r="C15" s="19">
        <v>740067</v>
      </c>
      <c r="D15" s="19">
        <v>1189862</v>
      </c>
      <c r="E15" s="17">
        <v>0.3834685110177628</v>
      </c>
      <c r="F15" s="6"/>
      <c r="G15" s="6"/>
      <c r="H15" s="6"/>
      <c r="I15" s="6"/>
      <c r="J15" s="6"/>
      <c r="K15" s="6"/>
    </row>
    <row r="16" spans="1:11" ht="15" customHeight="1" x14ac:dyDescent="0.25">
      <c r="A16" s="6"/>
      <c r="B16" s="21">
        <v>2006</v>
      </c>
      <c r="C16" s="19">
        <v>740365</v>
      </c>
      <c r="D16" s="19">
        <v>1191831</v>
      </c>
      <c r="E16" s="17">
        <v>0.38317282511712064</v>
      </c>
      <c r="F16" s="6"/>
      <c r="G16" s="6"/>
      <c r="H16" s="6"/>
      <c r="I16" s="6"/>
      <c r="J16" s="6"/>
      <c r="K16" s="6"/>
    </row>
    <row r="17" spans="1:11" x14ac:dyDescent="0.25">
      <c r="A17" s="6"/>
      <c r="B17" s="21">
        <v>2007</v>
      </c>
      <c r="C17" s="19">
        <v>730839.99999999825</v>
      </c>
      <c r="D17" s="19">
        <v>1209895.0000000014</v>
      </c>
      <c r="E17" s="17">
        <v>0.37657897652178102</v>
      </c>
      <c r="F17" s="6"/>
      <c r="G17" s="6"/>
      <c r="H17" s="6"/>
      <c r="I17" s="6"/>
      <c r="J17" s="6"/>
      <c r="K17" s="6"/>
    </row>
    <row r="18" spans="1:11" x14ac:dyDescent="0.25">
      <c r="A18" s="6"/>
      <c r="B18" s="21">
        <v>2008</v>
      </c>
      <c r="C18" s="19">
        <v>755292</v>
      </c>
      <c r="D18" s="19">
        <v>1186408</v>
      </c>
      <c r="E18" s="17">
        <v>0.38898491013029818</v>
      </c>
      <c r="F18" s="6"/>
      <c r="G18" s="6"/>
      <c r="H18" s="6"/>
      <c r="I18" s="6"/>
      <c r="J18" s="6"/>
      <c r="K18" s="6"/>
    </row>
    <row r="19" spans="1:11" x14ac:dyDescent="0.25">
      <c r="A19" s="6"/>
      <c r="B19" s="21">
        <v>2009</v>
      </c>
      <c r="C19" s="19">
        <v>785753</v>
      </c>
      <c r="D19" s="19">
        <v>1145615</v>
      </c>
      <c r="E19" s="17">
        <v>0.40683753691683822</v>
      </c>
      <c r="F19" s="6"/>
      <c r="G19" s="6"/>
      <c r="H19" s="6"/>
      <c r="I19" s="6"/>
      <c r="J19" s="6"/>
      <c r="K19" s="6"/>
    </row>
    <row r="20" spans="1:11" x14ac:dyDescent="0.25">
      <c r="A20" s="6"/>
      <c r="B20" s="21">
        <v>2010</v>
      </c>
      <c r="C20" s="19">
        <v>793084</v>
      </c>
      <c r="D20" s="19">
        <v>1129051</v>
      </c>
      <c r="E20" s="17">
        <v>0.41260577430825618</v>
      </c>
      <c r="F20" s="6"/>
      <c r="G20" s="6"/>
      <c r="H20" s="6"/>
      <c r="I20" s="6"/>
      <c r="J20" s="6"/>
      <c r="K20" s="6"/>
    </row>
    <row r="21" spans="1:11" x14ac:dyDescent="0.25">
      <c r="A21" s="6"/>
      <c r="B21" s="21">
        <v>2011</v>
      </c>
      <c r="C21" s="19">
        <v>807359</v>
      </c>
      <c r="D21" s="19">
        <v>1109554</v>
      </c>
      <c r="E21" s="17">
        <v>0.42117665225286699</v>
      </c>
      <c r="F21" s="6"/>
      <c r="G21" s="6"/>
      <c r="H21" s="6"/>
      <c r="I21" s="6"/>
      <c r="J21" s="6"/>
      <c r="K21" s="6"/>
    </row>
    <row r="22" spans="1:11" x14ac:dyDescent="0.25">
      <c r="A22" s="6"/>
      <c r="B22" s="21">
        <v>2012</v>
      </c>
      <c r="C22" s="19">
        <v>828513</v>
      </c>
      <c r="D22" s="19">
        <v>1107488</v>
      </c>
      <c r="E22" s="17">
        <v>0.42795070870314633</v>
      </c>
      <c r="F22" s="6"/>
      <c r="G22" s="6"/>
      <c r="H22" s="6"/>
      <c r="I22" s="6"/>
      <c r="J22" s="6"/>
      <c r="K22" s="6"/>
    </row>
    <row r="23" spans="1:11" x14ac:dyDescent="0.25">
      <c r="A23" s="6"/>
      <c r="B23" s="21">
        <v>2013</v>
      </c>
      <c r="C23" s="19">
        <v>845168</v>
      </c>
      <c r="D23" s="19">
        <v>1094725</v>
      </c>
      <c r="E23" s="17">
        <v>0.43567763789033725</v>
      </c>
      <c r="F23" s="6"/>
      <c r="G23" s="6"/>
      <c r="H23" s="6"/>
      <c r="I23" s="6"/>
      <c r="J23" s="6"/>
      <c r="K23" s="6"/>
    </row>
    <row r="24" spans="1:11" x14ac:dyDescent="0.25">
      <c r="A24" s="6"/>
      <c r="B24" s="21">
        <v>2014</v>
      </c>
      <c r="C24" s="19">
        <v>846293</v>
      </c>
      <c r="D24" s="19">
        <v>1091761</v>
      </c>
      <c r="E24" s="17">
        <v>0.43667152721234803</v>
      </c>
      <c r="F24" s="6"/>
      <c r="G24" s="6"/>
      <c r="H24" s="6"/>
      <c r="I24" s="6"/>
      <c r="J24" s="6"/>
      <c r="K24" s="6"/>
    </row>
    <row r="25" spans="1:11" x14ac:dyDescent="0.25">
      <c r="A25" s="6"/>
      <c r="B25" s="69">
        <v>2015</v>
      </c>
      <c r="C25" s="84">
        <v>864156.99999999942</v>
      </c>
      <c r="D25" s="84">
        <v>1090549.9999999972</v>
      </c>
      <c r="E25" s="85">
        <v>0.44209029793212018</v>
      </c>
      <c r="F25" s="6"/>
      <c r="G25" s="6"/>
      <c r="H25" s="6"/>
      <c r="I25" s="6"/>
      <c r="J25" s="6"/>
      <c r="K25" s="6"/>
    </row>
    <row r="26" spans="1:11" ht="15.75" thickBot="1" x14ac:dyDescent="0.3">
      <c r="A26" s="6"/>
      <c r="B26" s="22">
        <v>2016</v>
      </c>
      <c r="C26" s="20">
        <v>863054</v>
      </c>
      <c r="D26" s="20">
        <v>1100916</v>
      </c>
      <c r="E26" s="18">
        <v>0.439</v>
      </c>
      <c r="F26" s="6"/>
      <c r="G26" s="6"/>
      <c r="H26" s="6"/>
      <c r="I26" s="6"/>
      <c r="J26" s="6"/>
      <c r="K26" s="6"/>
    </row>
    <row r="27" spans="1:11" ht="15.75" thickBot="1" x14ac:dyDescent="0.3">
      <c r="A27" s="6"/>
      <c r="B27" s="155" t="s">
        <v>72</v>
      </c>
      <c r="C27" s="156"/>
      <c r="D27" s="157"/>
      <c r="E27" s="51"/>
      <c r="F27" s="6"/>
      <c r="G27" s="68"/>
      <c r="H27" s="68"/>
      <c r="I27" s="6"/>
      <c r="J27" s="6"/>
      <c r="K27" s="6"/>
    </row>
    <row r="28" spans="1:11" ht="15.75" thickBot="1" x14ac:dyDescent="0.3">
      <c r="A28" s="6"/>
      <c r="B28" s="7"/>
      <c r="C28" s="8"/>
      <c r="D28" s="8"/>
      <c r="E28" s="9"/>
      <c r="F28" s="6"/>
      <c r="G28" s="6"/>
      <c r="H28" s="6"/>
      <c r="I28" s="6"/>
      <c r="J28" s="6"/>
      <c r="K28" s="6"/>
    </row>
    <row r="29" spans="1:11" ht="15.75" thickBot="1" x14ac:dyDescent="0.3">
      <c r="A29" s="6"/>
      <c r="B29" s="135" t="s">
        <v>97</v>
      </c>
      <c r="C29" s="136"/>
      <c r="D29" s="137"/>
      <c r="E29" s="7"/>
      <c r="F29" s="7"/>
      <c r="G29" s="7"/>
      <c r="H29" s="7"/>
      <c r="I29" s="6"/>
      <c r="J29" s="6"/>
      <c r="K29" s="6"/>
    </row>
    <row r="30" spans="1:11" x14ac:dyDescent="0.25">
      <c r="A30" s="6"/>
      <c r="B30" s="130" t="s">
        <v>73</v>
      </c>
      <c r="C30" s="131"/>
      <c r="D30" s="131"/>
      <c r="E30" s="131"/>
      <c r="F30" s="131"/>
      <c r="G30" s="131"/>
      <c r="H30" s="132"/>
      <c r="I30" s="6"/>
      <c r="J30" s="6"/>
      <c r="K30" s="6"/>
    </row>
    <row r="31" spans="1:11" ht="15.75" thickBot="1" x14ac:dyDescent="0.3">
      <c r="A31" s="6"/>
      <c r="B31" s="5"/>
      <c r="C31" s="14" t="s">
        <v>3</v>
      </c>
      <c r="D31" s="14" t="s">
        <v>4</v>
      </c>
      <c r="E31" s="14" t="s">
        <v>5</v>
      </c>
      <c r="F31" s="14" t="s">
        <v>6</v>
      </c>
      <c r="G31" s="14" t="s">
        <v>20</v>
      </c>
      <c r="H31" s="15" t="s">
        <v>21</v>
      </c>
      <c r="I31" s="6"/>
      <c r="J31" s="6"/>
      <c r="K31" s="6"/>
    </row>
    <row r="32" spans="1:11" x14ac:dyDescent="0.25">
      <c r="A32" s="6"/>
      <c r="B32" s="29">
        <v>2007</v>
      </c>
      <c r="C32" s="23">
        <v>222805.00000000035</v>
      </c>
      <c r="D32" s="23">
        <v>128632.00000000003</v>
      </c>
      <c r="E32" s="23">
        <v>144209.00000000003</v>
      </c>
      <c r="F32" s="23">
        <v>123373.99999999997</v>
      </c>
      <c r="G32" s="23">
        <v>80428.000000000029</v>
      </c>
      <c r="H32" s="24">
        <v>31391.999999999996</v>
      </c>
      <c r="I32" s="6"/>
      <c r="J32" s="6"/>
      <c r="K32" s="6"/>
    </row>
    <row r="33" spans="1:11" x14ac:dyDescent="0.25">
      <c r="A33" s="6"/>
      <c r="B33" s="29">
        <v>2012</v>
      </c>
      <c r="C33" s="23">
        <v>254569.0000000002</v>
      </c>
      <c r="D33" s="23">
        <v>130664.00000000003</v>
      </c>
      <c r="E33" s="23">
        <v>159057.99999999985</v>
      </c>
      <c r="F33" s="23">
        <v>121273.99999999996</v>
      </c>
      <c r="G33" s="23">
        <v>112517.99999999993</v>
      </c>
      <c r="H33" s="24">
        <v>50429.999999999971</v>
      </c>
      <c r="I33" s="6"/>
      <c r="J33" s="6"/>
      <c r="K33" s="6"/>
    </row>
    <row r="34" spans="1:11" x14ac:dyDescent="0.25">
      <c r="A34" s="6"/>
      <c r="B34" s="29">
        <v>2013</v>
      </c>
      <c r="C34" s="23">
        <v>249787.9999999998</v>
      </c>
      <c r="D34" s="23">
        <v>135664.00000000006</v>
      </c>
      <c r="E34" s="23">
        <v>148035.00000000012</v>
      </c>
      <c r="F34" s="23">
        <v>137269.00000000003</v>
      </c>
      <c r="G34" s="23">
        <v>111748.00000000016</v>
      </c>
      <c r="H34" s="24">
        <v>62664.000000000007</v>
      </c>
      <c r="I34" s="6"/>
      <c r="J34" s="6"/>
      <c r="K34" s="6"/>
    </row>
    <row r="35" spans="1:11" x14ac:dyDescent="0.25">
      <c r="A35" s="6"/>
      <c r="B35" s="69">
        <v>2014</v>
      </c>
      <c r="C35" s="70">
        <v>240827.99999999988</v>
      </c>
      <c r="D35" s="70">
        <v>138553.99999999988</v>
      </c>
      <c r="E35" s="70">
        <v>150093.99999999974</v>
      </c>
      <c r="F35" s="70">
        <v>140343.99999999997</v>
      </c>
      <c r="G35" s="70">
        <v>124479.00000000013</v>
      </c>
      <c r="H35" s="71">
        <v>51993.999999999985</v>
      </c>
      <c r="I35" s="6"/>
      <c r="J35" s="6"/>
      <c r="K35" s="6"/>
    </row>
    <row r="36" spans="1:11" x14ac:dyDescent="0.25">
      <c r="A36" s="6"/>
      <c r="B36" s="69">
        <v>2015</v>
      </c>
      <c r="C36" s="86">
        <v>238195.99999999971</v>
      </c>
      <c r="D36" s="86">
        <v>158669.99999999965</v>
      </c>
      <c r="E36" s="86">
        <v>157474</v>
      </c>
      <c r="F36" s="86">
        <v>127950.00000000004</v>
      </c>
      <c r="G36" s="86">
        <v>114512.00000000009</v>
      </c>
      <c r="H36" s="87">
        <v>67355</v>
      </c>
      <c r="I36" s="6"/>
      <c r="J36" s="6"/>
      <c r="K36" s="6"/>
    </row>
    <row r="37" spans="1:11" ht="15.75" thickBot="1" x14ac:dyDescent="0.3">
      <c r="A37" s="6"/>
      <c r="B37" s="22">
        <v>2016</v>
      </c>
      <c r="C37" s="27">
        <v>240873.9999999998</v>
      </c>
      <c r="D37" s="27">
        <v>144864.99999999994</v>
      </c>
      <c r="E37" s="27">
        <v>158637.99999999977</v>
      </c>
      <c r="F37" s="27">
        <v>131447</v>
      </c>
      <c r="G37" s="27">
        <v>124475.99999999993</v>
      </c>
      <c r="H37" s="28">
        <v>62753.999999999978</v>
      </c>
      <c r="I37" s="6"/>
      <c r="J37" s="6"/>
      <c r="K37" s="6"/>
    </row>
    <row r="38" spans="1:11" ht="15.75" thickBot="1" x14ac:dyDescent="0.3">
      <c r="A38" s="6"/>
      <c r="B38" s="155" t="s">
        <v>74</v>
      </c>
      <c r="C38" s="156"/>
      <c r="D38" s="157"/>
      <c r="E38" s="52"/>
      <c r="F38" s="52"/>
      <c r="G38" s="52"/>
      <c r="H38" s="52"/>
      <c r="I38" s="6"/>
      <c r="J38" s="6"/>
      <c r="K38" s="6"/>
    </row>
    <row r="39" spans="1:11" ht="15.75" thickBot="1" x14ac:dyDescent="0.3">
      <c r="A39" s="6"/>
      <c r="B39" s="7"/>
      <c r="C39" s="10"/>
      <c r="D39" s="10"/>
      <c r="E39" s="10"/>
      <c r="F39" s="10"/>
      <c r="G39" s="10"/>
      <c r="H39" s="10"/>
      <c r="I39" s="6"/>
      <c r="J39" s="6"/>
      <c r="K39" s="6"/>
    </row>
    <row r="40" spans="1:11" ht="15.75" thickBot="1" x14ac:dyDescent="0.3">
      <c r="A40" s="6"/>
      <c r="B40" s="77" t="s">
        <v>96</v>
      </c>
      <c r="C40" s="78"/>
      <c r="D40" s="7"/>
      <c r="E40" s="7"/>
      <c r="F40" s="6"/>
      <c r="G40" s="10"/>
      <c r="H40" s="10"/>
      <c r="I40" s="6"/>
      <c r="J40" s="6"/>
      <c r="K40" s="6"/>
    </row>
    <row r="41" spans="1:11" x14ac:dyDescent="0.25">
      <c r="A41" s="6"/>
      <c r="B41" s="147" t="s">
        <v>75</v>
      </c>
      <c r="C41" s="148"/>
      <c r="D41" s="148"/>
      <c r="E41" s="148"/>
      <c r="F41" s="148"/>
      <c r="G41" s="148"/>
      <c r="H41" s="149"/>
      <c r="I41" s="6"/>
      <c r="J41" s="6"/>
      <c r="K41" s="6"/>
    </row>
    <row r="42" spans="1:11" ht="15.75" thickBot="1" x14ac:dyDescent="0.3">
      <c r="A42" s="6"/>
      <c r="B42" s="5" t="s">
        <v>7</v>
      </c>
      <c r="C42" s="14">
        <v>2007</v>
      </c>
      <c r="D42" s="14">
        <v>2012</v>
      </c>
      <c r="E42" s="14">
        <v>2013</v>
      </c>
      <c r="F42" s="14">
        <v>2014</v>
      </c>
      <c r="G42" s="14">
        <v>2015</v>
      </c>
      <c r="H42" s="89">
        <v>2016</v>
      </c>
      <c r="I42" s="6"/>
      <c r="J42" s="6"/>
      <c r="K42" s="6"/>
    </row>
    <row r="43" spans="1:11" x14ac:dyDescent="0.25">
      <c r="A43" s="6"/>
      <c r="B43" s="3" t="s">
        <v>8</v>
      </c>
      <c r="C43" s="23">
        <v>66400.999999999985</v>
      </c>
      <c r="D43" s="23">
        <v>57446.999999999942</v>
      </c>
      <c r="E43" s="23">
        <v>56750</v>
      </c>
      <c r="F43" s="88">
        <v>50614</v>
      </c>
      <c r="G43" s="90">
        <v>51612.000000000022</v>
      </c>
      <c r="H43" s="93">
        <v>55362.000000000007</v>
      </c>
      <c r="I43" s="6"/>
      <c r="J43" s="6"/>
      <c r="K43" s="6"/>
    </row>
    <row r="44" spans="1:11" x14ac:dyDescent="0.25">
      <c r="A44" s="6"/>
      <c r="B44" s="4" t="s">
        <v>9</v>
      </c>
      <c r="C44" s="25">
        <v>188030.99999999988</v>
      </c>
      <c r="D44" s="25">
        <v>255528.00000000041</v>
      </c>
      <c r="E44" s="25">
        <v>254331.99999999953</v>
      </c>
      <c r="F44" s="40">
        <v>263784</v>
      </c>
      <c r="G44" s="91">
        <v>255764.00000000035</v>
      </c>
      <c r="H44" s="26">
        <v>257462.99999999997</v>
      </c>
      <c r="I44" s="6"/>
      <c r="J44" s="6"/>
      <c r="K44" s="6"/>
    </row>
    <row r="45" spans="1:11" x14ac:dyDescent="0.25">
      <c r="A45" s="6"/>
      <c r="B45" s="4" t="s">
        <v>10</v>
      </c>
      <c r="C45" s="25">
        <v>158487.99999999994</v>
      </c>
      <c r="D45" s="25">
        <v>167763.99999999994</v>
      </c>
      <c r="E45" s="25">
        <v>182252.99999999977</v>
      </c>
      <c r="F45" s="40">
        <v>180135</v>
      </c>
      <c r="G45" s="91">
        <v>185879.00000000015</v>
      </c>
      <c r="H45" s="26">
        <v>178148.00000000029</v>
      </c>
      <c r="I45" s="6"/>
      <c r="J45" s="6"/>
      <c r="K45" s="6"/>
    </row>
    <row r="46" spans="1:11" x14ac:dyDescent="0.25">
      <c r="A46" s="6"/>
      <c r="B46" s="4" t="s">
        <v>11</v>
      </c>
      <c r="C46" s="25">
        <v>133980.00000000003</v>
      </c>
      <c r="D46" s="25">
        <v>136722.99999999994</v>
      </c>
      <c r="E46" s="25">
        <v>141309.00000000003</v>
      </c>
      <c r="F46" s="40">
        <v>131730</v>
      </c>
      <c r="G46" s="91">
        <v>136865.00000000009</v>
      </c>
      <c r="H46" s="26">
        <v>135140.00000000012</v>
      </c>
      <c r="I46" s="6"/>
      <c r="J46" s="6"/>
      <c r="K46" s="6"/>
    </row>
    <row r="47" spans="1:11" x14ac:dyDescent="0.25">
      <c r="A47" s="6"/>
      <c r="B47" s="4" t="s">
        <v>12</v>
      </c>
      <c r="C47" s="25">
        <v>86845.000000000131</v>
      </c>
      <c r="D47" s="25">
        <v>101681.99999999997</v>
      </c>
      <c r="E47" s="25">
        <v>103379.00000000003</v>
      </c>
      <c r="F47" s="40">
        <v>110598</v>
      </c>
      <c r="G47" s="91">
        <v>113029.00000000012</v>
      </c>
      <c r="H47" s="26">
        <v>111102.99999999984</v>
      </c>
      <c r="I47" s="6"/>
      <c r="J47" s="6"/>
      <c r="K47" s="6"/>
    </row>
    <row r="48" spans="1:11" x14ac:dyDescent="0.25">
      <c r="A48" s="6"/>
      <c r="B48" s="4" t="s">
        <v>13</v>
      </c>
      <c r="C48" s="25">
        <v>49283.999999999985</v>
      </c>
      <c r="D48" s="25">
        <v>56293.000000000015</v>
      </c>
      <c r="E48" s="25">
        <v>57663</v>
      </c>
      <c r="F48" s="40">
        <v>59979</v>
      </c>
      <c r="G48" s="91">
        <v>66581.000000000015</v>
      </c>
      <c r="H48" s="26">
        <v>68869.000000000029</v>
      </c>
      <c r="I48" s="6"/>
      <c r="J48" s="6"/>
      <c r="K48" s="6"/>
    </row>
    <row r="49" spans="1:12" x14ac:dyDescent="0.25">
      <c r="A49" s="6"/>
      <c r="B49" s="4" t="s">
        <v>14</v>
      </c>
      <c r="C49" s="25">
        <v>47811</v>
      </c>
      <c r="D49" s="25">
        <v>53076.000000000007</v>
      </c>
      <c r="E49" s="25">
        <v>49481.999999999985</v>
      </c>
      <c r="F49" s="40">
        <v>49453</v>
      </c>
      <c r="G49" s="91">
        <v>54427.000000000015</v>
      </c>
      <c r="H49" s="26">
        <v>56969.000000000036</v>
      </c>
      <c r="I49" s="6"/>
      <c r="J49" s="6"/>
      <c r="K49" s="6"/>
    </row>
    <row r="50" spans="1:12" ht="15.75" thickBot="1" x14ac:dyDescent="0.3">
      <c r="A50" s="6"/>
      <c r="B50" s="5" t="s">
        <v>15</v>
      </c>
      <c r="C50" s="31">
        <v>730839.99999999825</v>
      </c>
      <c r="D50" s="31">
        <v>828513.00000000023</v>
      </c>
      <c r="E50" s="31">
        <v>845167.9999999993</v>
      </c>
      <c r="F50" s="76">
        <v>846293</v>
      </c>
      <c r="G50" s="92">
        <v>864157.0000000007</v>
      </c>
      <c r="H50" s="94">
        <v>863054.00000000035</v>
      </c>
      <c r="I50" s="97"/>
      <c r="J50" s="6"/>
      <c r="K50" s="6"/>
    </row>
    <row r="51" spans="1:12" ht="15.75" thickBot="1" x14ac:dyDescent="0.3">
      <c r="A51" s="6"/>
      <c r="B51" s="144" t="s">
        <v>74</v>
      </c>
      <c r="C51" s="145"/>
      <c r="D51" s="146"/>
      <c r="E51" s="53"/>
      <c r="F51" s="10"/>
      <c r="G51" s="10"/>
      <c r="H51" s="6"/>
      <c r="I51" s="6"/>
      <c r="J51" s="6"/>
      <c r="K51" s="6"/>
    </row>
    <row r="52" spans="1:12" ht="15.75" thickBot="1" x14ac:dyDescent="0.3">
      <c r="A52" s="6"/>
      <c r="B52" s="7"/>
      <c r="C52" s="10"/>
      <c r="D52" s="10"/>
      <c r="E52" s="10"/>
      <c r="F52" s="10"/>
      <c r="G52" s="10"/>
      <c r="H52" s="10"/>
      <c r="I52" s="6"/>
      <c r="J52" s="6"/>
      <c r="K52" s="6"/>
    </row>
    <row r="53" spans="1:12" ht="15.75" thickBot="1" x14ac:dyDescent="0.3">
      <c r="A53" s="6"/>
      <c r="B53" s="152" t="s">
        <v>95</v>
      </c>
      <c r="C53" s="153"/>
      <c r="D53" s="154"/>
      <c r="E53" s="7"/>
      <c r="F53" s="7"/>
      <c r="G53" s="6"/>
      <c r="H53" s="6"/>
      <c r="I53" s="6"/>
      <c r="J53" s="6"/>
      <c r="K53" s="6"/>
    </row>
    <row r="54" spans="1:12" x14ac:dyDescent="0.25">
      <c r="A54" s="6"/>
      <c r="B54" s="130" t="s">
        <v>76</v>
      </c>
      <c r="C54" s="131"/>
      <c r="D54" s="131"/>
      <c r="E54" s="131"/>
      <c r="F54" s="131"/>
      <c r="G54" s="131"/>
      <c r="H54" s="131"/>
      <c r="I54" s="131"/>
      <c r="J54" s="132"/>
    </row>
    <row r="55" spans="1:12" ht="15.75" thickBot="1" x14ac:dyDescent="0.3">
      <c r="A55" s="6"/>
      <c r="B55" s="72"/>
      <c r="C55" s="80">
        <v>2007</v>
      </c>
      <c r="D55" s="81">
        <v>2012</v>
      </c>
      <c r="E55" s="81">
        <v>2013</v>
      </c>
      <c r="F55" s="81">
        <v>2014</v>
      </c>
      <c r="G55" s="79">
        <v>2015</v>
      </c>
      <c r="H55" s="96">
        <v>2016</v>
      </c>
      <c r="I55" s="80" t="s">
        <v>77</v>
      </c>
      <c r="J55" s="73" t="s">
        <v>78</v>
      </c>
      <c r="L55" s="68"/>
    </row>
    <row r="56" spans="1:12" x14ac:dyDescent="0.25">
      <c r="A56" s="6"/>
      <c r="B56" s="11" t="s">
        <v>16</v>
      </c>
      <c r="C56" s="30">
        <v>92646.999999999927</v>
      </c>
      <c r="D56" s="30">
        <v>119197.99999999999</v>
      </c>
      <c r="E56" s="30">
        <v>129074.00000000019</v>
      </c>
      <c r="F56" s="30">
        <v>133444</v>
      </c>
      <c r="G56" s="30">
        <v>137494.00000000003</v>
      </c>
      <c r="H56" s="30">
        <v>137114.99999999968</v>
      </c>
      <c r="I56" s="75">
        <v>8040.9999999994907</v>
      </c>
      <c r="J56" s="16">
        <v>6.2297596727454628E-2</v>
      </c>
      <c r="L56" s="68"/>
    </row>
    <row r="57" spans="1:12" x14ac:dyDescent="0.25">
      <c r="A57" s="6"/>
      <c r="B57" s="4" t="s">
        <v>17</v>
      </c>
      <c r="C57" s="25">
        <v>286633.00000000035</v>
      </c>
      <c r="D57" s="25">
        <v>296830.00000000023</v>
      </c>
      <c r="E57" s="25">
        <v>288403.99999999965</v>
      </c>
      <c r="F57" s="25">
        <v>290375</v>
      </c>
      <c r="G57" s="25">
        <v>279703.99999999994</v>
      </c>
      <c r="H57" s="25">
        <v>281572</v>
      </c>
      <c r="I57" s="40">
        <v>-6831.9999999996508</v>
      </c>
      <c r="J57" s="82">
        <v>-2.368899183090269E-2</v>
      </c>
      <c r="L57" s="68"/>
    </row>
    <row r="58" spans="1:12" x14ac:dyDescent="0.25">
      <c r="A58" s="6"/>
      <c r="B58" s="4" t="s">
        <v>18</v>
      </c>
      <c r="C58" s="25">
        <v>275347.99999999983</v>
      </c>
      <c r="D58" s="25">
        <v>303227.00000000012</v>
      </c>
      <c r="E58" s="25">
        <v>316149.99999999901</v>
      </c>
      <c r="F58" s="25">
        <v>315006</v>
      </c>
      <c r="G58" s="25">
        <v>327224.99999999983</v>
      </c>
      <c r="H58" s="25">
        <v>316540.00000000006</v>
      </c>
      <c r="I58" s="40">
        <v>390.00000000104774</v>
      </c>
      <c r="J58" s="82">
        <v>1.2335916495367673E-3</v>
      </c>
      <c r="L58" s="68"/>
    </row>
    <row r="59" spans="1:12" x14ac:dyDescent="0.25">
      <c r="A59" s="6"/>
      <c r="B59" s="4" t="s">
        <v>19</v>
      </c>
      <c r="C59" s="25">
        <v>149366.99999999997</v>
      </c>
      <c r="D59" s="25">
        <v>175278.00000000032</v>
      </c>
      <c r="E59" s="25">
        <v>171422</v>
      </c>
      <c r="F59" s="25">
        <v>174554</v>
      </c>
      <c r="G59" s="25">
        <v>176698.00000000006</v>
      </c>
      <c r="H59" s="25">
        <v>177502.9999999998</v>
      </c>
      <c r="I59" s="40">
        <v>6080.9999999997963</v>
      </c>
      <c r="J59" s="82">
        <v>3.5473859831292344E-2</v>
      </c>
      <c r="L59" s="68"/>
    </row>
    <row r="60" spans="1:12" ht="15.75" thickBot="1" x14ac:dyDescent="0.3">
      <c r="A60" s="6"/>
      <c r="B60" s="5" t="s">
        <v>15</v>
      </c>
      <c r="C60" s="31">
        <v>803995.00000000012</v>
      </c>
      <c r="D60" s="31">
        <v>894533.0000000007</v>
      </c>
      <c r="E60" s="31">
        <v>905049.99999999884</v>
      </c>
      <c r="F60" s="31">
        <v>913379</v>
      </c>
      <c r="G60" s="31">
        <v>921120.99999999977</v>
      </c>
      <c r="H60" s="31">
        <v>912729.99999999953</v>
      </c>
      <c r="I60" s="76">
        <v>7680.0000000006985</v>
      </c>
      <c r="J60" s="18">
        <v>8.4857190210493438E-3</v>
      </c>
    </row>
    <row r="61" spans="1:12" ht="15.75" thickBot="1" x14ac:dyDescent="0.3">
      <c r="A61" s="6"/>
      <c r="B61" s="158" t="s">
        <v>74</v>
      </c>
      <c r="C61" s="159"/>
      <c r="D61" s="160"/>
      <c r="E61" s="53"/>
      <c r="F61" s="53"/>
      <c r="G61" s="51"/>
      <c r="H61" s="6"/>
      <c r="I61" s="6"/>
      <c r="J61" s="6"/>
      <c r="K61" s="6"/>
    </row>
    <row r="62" spans="1:12" ht="15.75" thickBot="1" x14ac:dyDescent="0.3">
      <c r="A62" s="6"/>
      <c r="B62" s="13"/>
      <c r="C62" s="13"/>
      <c r="D62" s="13"/>
      <c r="E62" s="13"/>
      <c r="F62" s="7"/>
      <c r="G62" s="7"/>
      <c r="H62" s="7"/>
      <c r="I62" s="95"/>
      <c r="J62" s="7"/>
      <c r="K62" s="7"/>
    </row>
    <row r="63" spans="1:12" ht="15.75" thickBot="1" x14ac:dyDescent="0.3">
      <c r="A63" s="111"/>
      <c r="B63" s="144" t="s">
        <v>94</v>
      </c>
      <c r="C63" s="145"/>
      <c r="D63" s="146"/>
      <c r="E63" s="13"/>
      <c r="F63" s="7"/>
      <c r="G63" s="8"/>
      <c r="H63" s="7"/>
      <c r="I63" s="95"/>
      <c r="J63" s="7"/>
      <c r="K63" s="7"/>
    </row>
    <row r="64" spans="1:12" x14ac:dyDescent="0.25">
      <c r="A64" s="6"/>
      <c r="B64" s="161" t="s">
        <v>79</v>
      </c>
      <c r="C64" s="162"/>
      <c r="D64" s="162"/>
      <c r="E64" s="163"/>
      <c r="F64" s="7"/>
      <c r="G64" s="8"/>
      <c r="H64" s="7"/>
      <c r="I64" s="95"/>
      <c r="J64" s="7"/>
      <c r="K64" s="7"/>
    </row>
    <row r="65" spans="1:20" ht="15.75" thickBot="1" x14ac:dyDescent="0.3">
      <c r="A65" s="6"/>
      <c r="B65" s="1"/>
      <c r="C65" s="36" t="s">
        <v>25</v>
      </c>
      <c r="D65" s="36" t="s">
        <v>26</v>
      </c>
      <c r="E65" s="37" t="s">
        <v>29</v>
      </c>
      <c r="F65" s="7"/>
      <c r="G65" s="83"/>
      <c r="H65" s="7"/>
      <c r="I65" s="95"/>
      <c r="J65" s="7"/>
      <c r="K65" s="7"/>
    </row>
    <row r="66" spans="1:20" x14ac:dyDescent="0.25">
      <c r="A66" s="6"/>
      <c r="B66" s="2">
        <v>2007</v>
      </c>
      <c r="C66" s="32">
        <v>297588</v>
      </c>
      <c r="D66" s="32">
        <v>454861</v>
      </c>
      <c r="E66" s="33">
        <v>157273</v>
      </c>
      <c r="F66" s="7"/>
      <c r="G66" s="8"/>
      <c r="H66" s="7"/>
      <c r="I66" s="95"/>
      <c r="J66" s="7"/>
      <c r="K66" s="7"/>
    </row>
    <row r="67" spans="1:20" x14ac:dyDescent="0.25">
      <c r="A67" s="6"/>
      <c r="B67" s="65">
        <v>2012</v>
      </c>
      <c r="C67" s="66">
        <v>346898</v>
      </c>
      <c r="D67" s="66">
        <v>523111</v>
      </c>
      <c r="E67" s="67">
        <v>176213</v>
      </c>
      <c r="F67" s="7"/>
      <c r="G67" s="7"/>
      <c r="H67" s="7"/>
      <c r="I67" s="83"/>
      <c r="J67" s="7"/>
      <c r="K67" s="7"/>
    </row>
    <row r="68" spans="1:20" x14ac:dyDescent="0.25">
      <c r="A68" s="6"/>
      <c r="B68" s="65">
        <v>2013</v>
      </c>
      <c r="C68" s="66">
        <v>352489</v>
      </c>
      <c r="D68" s="66">
        <v>520787</v>
      </c>
      <c r="E68" s="67">
        <v>168298</v>
      </c>
      <c r="F68" s="7"/>
      <c r="G68" s="7"/>
      <c r="H68" s="7"/>
      <c r="I68" s="7"/>
      <c r="J68" s="7"/>
      <c r="K68" s="7"/>
    </row>
    <row r="69" spans="1:20" x14ac:dyDescent="0.25">
      <c r="A69" s="6"/>
      <c r="B69" s="65">
        <v>2014</v>
      </c>
      <c r="C69" s="66">
        <v>334767</v>
      </c>
      <c r="D69" s="66">
        <v>511085</v>
      </c>
      <c r="E69" s="67">
        <v>176318</v>
      </c>
      <c r="F69" s="7"/>
      <c r="G69" s="7"/>
      <c r="H69" s="7"/>
      <c r="I69" s="7"/>
      <c r="J69" s="7"/>
      <c r="K69" s="7"/>
    </row>
    <row r="70" spans="1:20" x14ac:dyDescent="0.25">
      <c r="A70" s="6"/>
      <c r="B70" s="65">
        <v>2015</v>
      </c>
      <c r="C70" s="66">
        <v>325819</v>
      </c>
      <c r="D70" s="66">
        <v>513667</v>
      </c>
      <c r="E70" s="67">
        <v>187848</v>
      </c>
      <c r="F70" s="7"/>
      <c r="G70" s="7"/>
      <c r="H70" s="7"/>
      <c r="I70" s="7"/>
      <c r="J70" s="7"/>
      <c r="K70" s="7"/>
    </row>
    <row r="71" spans="1:20" ht="15.75" thickBot="1" x14ac:dyDescent="0.3">
      <c r="A71" s="6"/>
      <c r="B71" s="1">
        <v>2016</v>
      </c>
      <c r="C71" s="34">
        <v>316029</v>
      </c>
      <c r="D71" s="34">
        <v>497823</v>
      </c>
      <c r="E71" s="35">
        <v>181794</v>
      </c>
      <c r="F71" s="7"/>
      <c r="G71" s="7"/>
      <c r="H71" s="7"/>
      <c r="I71" s="7"/>
      <c r="J71" s="7"/>
      <c r="K71" s="7"/>
    </row>
    <row r="72" spans="1:20" ht="15.75" thickBot="1" x14ac:dyDescent="0.3">
      <c r="A72" s="6"/>
      <c r="B72" s="158" t="s">
        <v>74</v>
      </c>
      <c r="C72" s="159"/>
      <c r="D72" s="160"/>
      <c r="E72" s="55"/>
      <c r="F72" s="7"/>
      <c r="G72" s="7"/>
      <c r="H72" s="7"/>
      <c r="I72" s="7"/>
      <c r="J72" s="7"/>
      <c r="K72" s="7"/>
    </row>
    <row r="73" spans="1:20" ht="15.75" thickBot="1" x14ac:dyDescent="0.3">
      <c r="A73" s="6"/>
      <c r="B73" s="7"/>
      <c r="C73" s="7"/>
      <c r="D73" s="7"/>
      <c r="E73" s="7"/>
      <c r="F73" s="7"/>
      <c r="G73" s="7"/>
      <c r="H73" s="7"/>
      <c r="I73" s="7"/>
      <c r="J73" s="7"/>
      <c r="K73" s="6"/>
    </row>
    <row r="74" spans="1:20" ht="15.75" thickBot="1" x14ac:dyDescent="0.3">
      <c r="A74" s="6"/>
      <c r="B74" s="152" t="s">
        <v>93</v>
      </c>
      <c r="C74" s="153"/>
      <c r="D74" s="154"/>
      <c r="E74" s="6"/>
      <c r="F74" s="6"/>
      <c r="G74" s="6"/>
      <c r="H74" s="6"/>
      <c r="I74" s="6"/>
      <c r="J74" s="6"/>
      <c r="K74" s="6"/>
    </row>
    <row r="75" spans="1:20" x14ac:dyDescent="0.25">
      <c r="A75" s="6"/>
      <c r="B75" s="130" t="s">
        <v>80</v>
      </c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2"/>
    </row>
    <row r="76" spans="1:20" ht="15.75" thickBot="1" x14ac:dyDescent="0.3">
      <c r="A76" s="6"/>
      <c r="B76" s="12"/>
      <c r="C76" s="141">
        <v>2007</v>
      </c>
      <c r="D76" s="142"/>
      <c r="E76" s="143"/>
      <c r="F76" s="141">
        <v>2012</v>
      </c>
      <c r="G76" s="142"/>
      <c r="H76" s="143"/>
      <c r="I76" s="141">
        <v>2013</v>
      </c>
      <c r="J76" s="142"/>
      <c r="K76" s="143"/>
      <c r="L76" s="133">
        <v>2014</v>
      </c>
      <c r="M76" s="128"/>
      <c r="N76" s="129"/>
      <c r="O76" s="127">
        <v>2015</v>
      </c>
      <c r="P76" s="128"/>
      <c r="Q76" s="129"/>
      <c r="R76" s="127">
        <v>2016</v>
      </c>
      <c r="S76" s="128"/>
      <c r="T76" s="129"/>
    </row>
    <row r="77" spans="1:20" x14ac:dyDescent="0.25">
      <c r="A77" s="6"/>
      <c r="B77" s="61"/>
      <c r="C77" s="58" t="s">
        <v>22</v>
      </c>
      <c r="D77" s="102" t="s">
        <v>23</v>
      </c>
      <c r="E77" s="46" t="s">
        <v>24</v>
      </c>
      <c r="F77" s="101" t="s">
        <v>22</v>
      </c>
      <c r="G77" s="102" t="s">
        <v>23</v>
      </c>
      <c r="H77" s="46" t="s">
        <v>24</v>
      </c>
      <c r="I77" s="101" t="s">
        <v>22</v>
      </c>
      <c r="J77" s="102" t="s">
        <v>23</v>
      </c>
      <c r="K77" s="46" t="s">
        <v>24</v>
      </c>
      <c r="L77" s="101" t="s">
        <v>22</v>
      </c>
      <c r="M77" s="102" t="s">
        <v>23</v>
      </c>
      <c r="N77" s="103" t="s">
        <v>24</v>
      </c>
      <c r="O77" s="101" t="s">
        <v>22</v>
      </c>
      <c r="P77" s="102" t="s">
        <v>23</v>
      </c>
      <c r="Q77" s="103" t="s">
        <v>24</v>
      </c>
      <c r="R77" s="101" t="s">
        <v>22</v>
      </c>
      <c r="S77" s="102" t="s">
        <v>23</v>
      </c>
      <c r="T77" s="103" t="s">
        <v>24</v>
      </c>
    </row>
    <row r="78" spans="1:20" x14ac:dyDescent="0.25">
      <c r="B78" s="62" t="s">
        <v>3</v>
      </c>
      <c r="C78" s="40">
        <v>25153.999999999993</v>
      </c>
      <c r="D78" s="25">
        <v>30322.000000000011</v>
      </c>
      <c r="E78" s="47">
        <v>167328.99999999997</v>
      </c>
      <c r="F78" s="39">
        <v>27340.999999999982</v>
      </c>
      <c r="G78" s="25">
        <v>28860.000000000004</v>
      </c>
      <c r="H78" s="47">
        <v>198367.99999999924</v>
      </c>
      <c r="I78" s="39">
        <v>25562.000000000007</v>
      </c>
      <c r="J78" s="25">
        <v>27485.000000000015</v>
      </c>
      <c r="K78" s="47">
        <v>196741.00000000009</v>
      </c>
      <c r="L78" s="39">
        <v>30983.999999999993</v>
      </c>
      <c r="M78" s="25">
        <v>26887.000000000007</v>
      </c>
      <c r="N78" s="26">
        <v>182957</v>
      </c>
      <c r="O78" s="39">
        <v>23440.999999999993</v>
      </c>
      <c r="P78" s="25">
        <v>26285</v>
      </c>
      <c r="Q78" s="26">
        <v>188470.00000000003</v>
      </c>
      <c r="R78" s="39">
        <v>30162.000000000029</v>
      </c>
      <c r="S78" s="25">
        <v>31717.999999999989</v>
      </c>
      <c r="T78" s="26">
        <v>178993.99999999994</v>
      </c>
    </row>
    <row r="79" spans="1:20" x14ac:dyDescent="0.25">
      <c r="B79" s="62" t="s">
        <v>4</v>
      </c>
      <c r="C79" s="40">
        <v>23161.999999999982</v>
      </c>
      <c r="D79" s="25">
        <v>68485.999999999985</v>
      </c>
      <c r="E79" s="47">
        <v>36983.999999999985</v>
      </c>
      <c r="F79" s="39">
        <v>20233.000000000004</v>
      </c>
      <c r="G79" s="25">
        <v>62143.000000000029</v>
      </c>
      <c r="H79" s="47">
        <v>48288.000000000007</v>
      </c>
      <c r="I79" s="39">
        <v>21663.999999999996</v>
      </c>
      <c r="J79" s="25">
        <v>69375.999999999913</v>
      </c>
      <c r="K79" s="47">
        <v>44624</v>
      </c>
      <c r="L79" s="39">
        <v>20720.999999999996</v>
      </c>
      <c r="M79" s="25">
        <v>63802.000000000073</v>
      </c>
      <c r="N79" s="26">
        <v>54031.000000000007</v>
      </c>
      <c r="O79" s="39">
        <v>24264.999999999993</v>
      </c>
      <c r="P79" s="25">
        <v>80945.999999999956</v>
      </c>
      <c r="Q79" s="26">
        <v>53459.000000000007</v>
      </c>
      <c r="R79" s="39">
        <v>23597.999999999996</v>
      </c>
      <c r="S79" s="25">
        <v>71082.000000000015</v>
      </c>
      <c r="T79" s="26">
        <v>50185</v>
      </c>
    </row>
    <row r="80" spans="1:20" x14ac:dyDescent="0.25">
      <c r="B80" s="62" t="s">
        <v>5</v>
      </c>
      <c r="C80" s="40">
        <v>83328.000000000058</v>
      </c>
      <c r="D80" s="25">
        <v>52525.000000000044</v>
      </c>
      <c r="E80" s="47">
        <v>8355.9999999999964</v>
      </c>
      <c r="F80" s="39">
        <v>82238.000000000015</v>
      </c>
      <c r="G80" s="25">
        <v>64900.000000000022</v>
      </c>
      <c r="H80" s="47">
        <v>11920</v>
      </c>
      <c r="I80" s="39">
        <v>80168.000000000102</v>
      </c>
      <c r="J80" s="25">
        <v>57827.000000000044</v>
      </c>
      <c r="K80" s="47">
        <v>10040.000000000004</v>
      </c>
      <c r="L80" s="39">
        <v>72143.000000000029</v>
      </c>
      <c r="M80" s="25">
        <v>65145.999999999964</v>
      </c>
      <c r="N80" s="26">
        <v>12804.999999999998</v>
      </c>
      <c r="O80" s="39">
        <v>81653</v>
      </c>
      <c r="P80" s="25">
        <v>61081.000000000029</v>
      </c>
      <c r="Q80" s="26">
        <v>14740</v>
      </c>
      <c r="R80" s="39">
        <v>86399.99999999984</v>
      </c>
      <c r="S80" s="25">
        <v>58885.000000000029</v>
      </c>
      <c r="T80" s="26">
        <v>13353</v>
      </c>
    </row>
    <row r="81" spans="2:20" x14ac:dyDescent="0.25">
      <c r="B81" s="62" t="s">
        <v>6</v>
      </c>
      <c r="C81" s="40">
        <v>109039.99999999983</v>
      </c>
      <c r="D81" s="25">
        <v>13060</v>
      </c>
      <c r="E81" s="47">
        <v>1273.9999999999998</v>
      </c>
      <c r="F81" s="39">
        <v>101739.99999999997</v>
      </c>
      <c r="G81" s="25">
        <v>17756.999999999993</v>
      </c>
      <c r="H81" s="47">
        <v>1777</v>
      </c>
      <c r="I81" s="39">
        <v>112604.00000000009</v>
      </c>
      <c r="J81" s="25">
        <v>22825.999999999978</v>
      </c>
      <c r="K81" s="47">
        <v>1839</v>
      </c>
      <c r="L81" s="39">
        <v>110101.00000000007</v>
      </c>
      <c r="M81" s="25">
        <v>27389.999999999985</v>
      </c>
      <c r="N81" s="26">
        <v>2853</v>
      </c>
      <c r="O81" s="39">
        <v>102523.00000000003</v>
      </c>
      <c r="P81" s="25">
        <v>23888.000000000004</v>
      </c>
      <c r="Q81" s="26">
        <v>1539</v>
      </c>
      <c r="R81" s="39">
        <v>107573.00000000016</v>
      </c>
      <c r="S81" s="25">
        <v>21085.999999999996</v>
      </c>
      <c r="T81" s="26">
        <v>2788</v>
      </c>
    </row>
    <row r="82" spans="2:20" x14ac:dyDescent="0.25">
      <c r="B82" s="62" t="s">
        <v>20</v>
      </c>
      <c r="C82" s="40">
        <v>77639.999999999985</v>
      </c>
      <c r="D82" s="25">
        <v>2787.9999999999995</v>
      </c>
      <c r="E82" s="47">
        <v>0</v>
      </c>
      <c r="F82" s="39">
        <v>104560.00000000003</v>
      </c>
      <c r="G82" s="25">
        <v>7891.0000000000009</v>
      </c>
      <c r="H82" s="47">
        <v>67</v>
      </c>
      <c r="I82" s="39">
        <v>105361.00000000016</v>
      </c>
      <c r="J82" s="25">
        <v>6270.0000000000009</v>
      </c>
      <c r="K82" s="47">
        <v>117</v>
      </c>
      <c r="L82" s="39">
        <v>118021.00000000006</v>
      </c>
      <c r="M82" s="25">
        <v>6142.0000000000009</v>
      </c>
      <c r="N82" s="26">
        <v>316</v>
      </c>
      <c r="O82" s="39">
        <v>106968.00000000012</v>
      </c>
      <c r="P82" s="25">
        <v>7544</v>
      </c>
      <c r="Q82" s="26">
        <v>0</v>
      </c>
      <c r="R82" s="39">
        <v>117873.00000000004</v>
      </c>
      <c r="S82" s="25">
        <v>6531.0000000000009</v>
      </c>
      <c r="T82" s="26">
        <v>72</v>
      </c>
    </row>
    <row r="83" spans="2:20" x14ac:dyDescent="0.25">
      <c r="B83" s="63" t="s">
        <v>21</v>
      </c>
      <c r="C83" s="59">
        <v>31169.999999999996</v>
      </c>
      <c r="D83" s="42">
        <v>222</v>
      </c>
      <c r="E83" s="48">
        <v>0</v>
      </c>
      <c r="F83" s="39">
        <v>50429.999999999971</v>
      </c>
      <c r="G83" s="25">
        <v>0</v>
      </c>
      <c r="H83" s="47">
        <v>0</v>
      </c>
      <c r="I83" s="39">
        <v>62404.000000000007</v>
      </c>
      <c r="J83" s="25">
        <v>260</v>
      </c>
      <c r="K83" s="47">
        <v>0</v>
      </c>
      <c r="L83" s="39">
        <v>51577.999999999985</v>
      </c>
      <c r="M83" s="25">
        <v>416</v>
      </c>
      <c r="N83" s="26">
        <v>0</v>
      </c>
      <c r="O83" s="39">
        <v>67163.999999999985</v>
      </c>
      <c r="P83" s="25">
        <v>191</v>
      </c>
      <c r="Q83" s="26">
        <v>0</v>
      </c>
      <c r="R83" s="39">
        <v>62643</v>
      </c>
      <c r="S83" s="25">
        <v>111</v>
      </c>
      <c r="T83" s="26">
        <v>0</v>
      </c>
    </row>
    <row r="84" spans="2:20" ht="15.75" thickBot="1" x14ac:dyDescent="0.3">
      <c r="B84" s="64" t="s">
        <v>15</v>
      </c>
      <c r="C84" s="60">
        <v>349493.99999999983</v>
      </c>
      <c r="D84" s="44">
        <v>167403.00000000006</v>
      </c>
      <c r="E84" s="49">
        <v>213942.99999999994</v>
      </c>
      <c r="F84" s="43">
        <v>386542</v>
      </c>
      <c r="G84" s="44">
        <v>181551.00000000006</v>
      </c>
      <c r="H84" s="49">
        <v>260419.99999999924</v>
      </c>
      <c r="I84" s="43">
        <v>407763.00000000035</v>
      </c>
      <c r="J84" s="44">
        <v>184043.99999999994</v>
      </c>
      <c r="K84" s="49">
        <v>253361.00000000009</v>
      </c>
      <c r="L84" s="43">
        <v>403548.00000000012</v>
      </c>
      <c r="M84" s="44">
        <v>189783.00000000006</v>
      </c>
      <c r="N84" s="45">
        <v>252962</v>
      </c>
      <c r="O84" s="43">
        <v>406014.00000000012</v>
      </c>
      <c r="P84" s="44">
        <v>199935</v>
      </c>
      <c r="Q84" s="45">
        <v>258208.00000000003</v>
      </c>
      <c r="R84" s="43">
        <v>428249.00000000012</v>
      </c>
      <c r="S84" s="44">
        <v>189413.00000000003</v>
      </c>
      <c r="T84" s="45">
        <v>245391.99999999994</v>
      </c>
    </row>
    <row r="85" spans="2:20" ht="15.75" thickBot="1" x14ac:dyDescent="0.3">
      <c r="B85" s="158" t="s">
        <v>74</v>
      </c>
      <c r="C85" s="145"/>
      <c r="D85" s="146"/>
      <c r="E85" s="54"/>
      <c r="F85" s="54"/>
      <c r="G85" s="54"/>
      <c r="H85" s="54"/>
      <c r="I85" s="54"/>
      <c r="J85" s="54"/>
      <c r="K85" s="54"/>
      <c r="L85" s="6"/>
    </row>
    <row r="86" spans="2:20" ht="15.75" thickBot="1" x14ac:dyDescent="0.3">
      <c r="B86" s="113"/>
      <c r="C86" s="113"/>
      <c r="D86" s="113"/>
      <c r="E86" s="54"/>
      <c r="F86" s="54"/>
      <c r="G86" s="54"/>
      <c r="H86" s="54"/>
      <c r="I86" s="54"/>
      <c r="J86" s="54"/>
      <c r="K86" s="54"/>
      <c r="L86" s="6"/>
    </row>
    <row r="87" spans="2:20" ht="15.75" thickBot="1" x14ac:dyDescent="0.3">
      <c r="B87" s="144" t="s">
        <v>94</v>
      </c>
      <c r="C87" s="145"/>
      <c r="D87" s="146"/>
      <c r="F87" s="54"/>
      <c r="G87" s="54"/>
      <c r="H87" s="54"/>
      <c r="I87" s="54"/>
      <c r="J87" s="54"/>
      <c r="K87" s="54"/>
      <c r="L87" s="6"/>
    </row>
    <row r="88" spans="2:20" ht="15.75" thickBot="1" x14ac:dyDescent="0.3">
      <c r="B88" s="165" t="s">
        <v>90</v>
      </c>
      <c r="C88" s="166"/>
      <c r="D88" s="166"/>
      <c r="E88" s="167"/>
      <c r="F88" s="54"/>
      <c r="G88" s="54"/>
      <c r="H88" s="54"/>
      <c r="I88" s="54"/>
      <c r="J88" s="54"/>
      <c r="K88" s="54"/>
      <c r="L88" s="6"/>
    </row>
    <row r="89" spans="2:20" x14ac:dyDescent="0.25">
      <c r="B89" s="104" t="s">
        <v>86</v>
      </c>
      <c r="C89" s="107" t="s">
        <v>25</v>
      </c>
      <c r="D89" s="107" t="s">
        <v>26</v>
      </c>
      <c r="E89" s="108" t="s">
        <v>29</v>
      </c>
      <c r="F89" s="54"/>
      <c r="G89" s="54"/>
      <c r="H89" s="54"/>
      <c r="I89" s="54"/>
      <c r="J89" s="54"/>
      <c r="K89" s="54"/>
      <c r="L89" s="6"/>
    </row>
    <row r="90" spans="2:20" x14ac:dyDescent="0.25">
      <c r="B90" s="105">
        <v>2012</v>
      </c>
      <c r="C90" s="115">
        <v>255372</v>
      </c>
      <c r="D90" s="115">
        <v>366011</v>
      </c>
      <c r="E90" s="116">
        <v>110639</v>
      </c>
      <c r="F90" s="54"/>
      <c r="G90" s="54"/>
      <c r="H90" s="54"/>
      <c r="I90" s="54"/>
      <c r="J90" s="54"/>
      <c r="K90" s="54"/>
      <c r="L90" s="6"/>
    </row>
    <row r="91" spans="2:20" x14ac:dyDescent="0.25">
      <c r="B91" s="105">
        <v>2013</v>
      </c>
      <c r="C91" s="115">
        <v>259239</v>
      </c>
      <c r="D91" s="115">
        <v>367354</v>
      </c>
      <c r="E91" s="116">
        <v>108115</v>
      </c>
      <c r="F91" s="54"/>
      <c r="G91" s="54"/>
      <c r="H91" s="54"/>
      <c r="I91" s="54"/>
      <c r="J91" s="54"/>
      <c r="K91" s="54"/>
      <c r="L91" s="6"/>
    </row>
    <row r="92" spans="2:20" x14ac:dyDescent="0.25">
      <c r="B92" s="105">
        <v>2014</v>
      </c>
      <c r="C92" s="115">
        <v>243241</v>
      </c>
      <c r="D92" s="115">
        <v>356372</v>
      </c>
      <c r="E92" s="116">
        <v>113131</v>
      </c>
      <c r="F92" s="54"/>
      <c r="G92" s="54"/>
      <c r="H92" s="54"/>
      <c r="I92" s="54"/>
      <c r="J92" s="54"/>
      <c r="K92" s="54"/>
      <c r="L92" s="6"/>
    </row>
    <row r="93" spans="2:20" x14ac:dyDescent="0.25">
      <c r="B93" s="105">
        <v>2015</v>
      </c>
      <c r="C93" s="115">
        <v>237094</v>
      </c>
      <c r="D93" s="115">
        <v>354738</v>
      </c>
      <c r="E93" s="116">
        <v>117644</v>
      </c>
      <c r="F93" s="54"/>
      <c r="G93" s="54"/>
      <c r="H93" s="54"/>
      <c r="I93" s="54"/>
      <c r="J93" s="54"/>
      <c r="K93" s="54"/>
      <c r="L93" s="6"/>
    </row>
    <row r="94" spans="2:20" ht="15.75" thickBot="1" x14ac:dyDescent="0.3">
      <c r="B94" s="106">
        <v>2016</v>
      </c>
      <c r="C94" s="115">
        <v>228870</v>
      </c>
      <c r="D94" s="115">
        <v>348272</v>
      </c>
      <c r="E94" s="116">
        <v>119402</v>
      </c>
      <c r="F94" s="54"/>
      <c r="G94" s="54"/>
      <c r="H94" s="54"/>
      <c r="I94" s="54"/>
      <c r="J94" s="54"/>
      <c r="K94" s="54"/>
      <c r="L94" s="6"/>
    </row>
    <row r="95" spans="2:20" ht="15.75" thickBot="1" x14ac:dyDescent="0.3">
      <c r="B95" s="144" t="s">
        <v>87</v>
      </c>
      <c r="C95" s="145"/>
      <c r="D95" s="145"/>
      <c r="E95" s="146"/>
      <c r="F95" s="54"/>
      <c r="G95" s="54"/>
      <c r="H95" s="54"/>
      <c r="I95" s="54"/>
      <c r="J95" s="54"/>
      <c r="K95" s="54"/>
      <c r="L95" s="6"/>
    </row>
    <row r="96" spans="2:20" ht="15.75" thickBot="1" x14ac:dyDescent="0.3">
      <c r="F96" s="54"/>
      <c r="G96" s="54"/>
      <c r="H96" s="54"/>
      <c r="I96" s="54"/>
      <c r="J96" s="54"/>
      <c r="K96" s="54"/>
      <c r="L96" s="6"/>
    </row>
    <row r="97" spans="1:12" ht="15.75" thickBot="1" x14ac:dyDescent="0.3">
      <c r="B97" s="144" t="s">
        <v>94</v>
      </c>
      <c r="C97" s="145"/>
      <c r="D97" s="146"/>
      <c r="F97" s="54"/>
      <c r="G97" s="54"/>
      <c r="H97" s="54"/>
      <c r="I97" s="54"/>
      <c r="J97" s="54"/>
      <c r="K97" s="54"/>
      <c r="L97" s="6"/>
    </row>
    <row r="98" spans="1:12" ht="15.75" thickBot="1" x14ac:dyDescent="0.3">
      <c r="B98" s="165" t="s">
        <v>91</v>
      </c>
      <c r="C98" s="166"/>
      <c r="D98" s="166"/>
      <c r="E98" s="167"/>
      <c r="F98" s="54"/>
      <c r="G98" s="54"/>
      <c r="H98" s="54"/>
      <c r="I98" s="54"/>
      <c r="J98" s="54"/>
      <c r="K98" s="54"/>
      <c r="L98" s="6"/>
    </row>
    <row r="99" spans="1:12" x14ac:dyDescent="0.25">
      <c r="B99" s="104" t="s">
        <v>86</v>
      </c>
      <c r="C99" s="107" t="s">
        <v>25</v>
      </c>
      <c r="D99" s="107" t="s">
        <v>26</v>
      </c>
      <c r="E99" s="108" t="s">
        <v>29</v>
      </c>
      <c r="F99" s="54"/>
      <c r="G99" s="54"/>
      <c r="H99" s="54"/>
      <c r="I99" s="54"/>
      <c r="J99" s="54"/>
      <c r="K99" s="54"/>
      <c r="L99" s="6"/>
    </row>
    <row r="100" spans="1:12" x14ac:dyDescent="0.25">
      <c r="B100" s="105">
        <v>2012</v>
      </c>
      <c r="C100" s="114">
        <v>91526</v>
      </c>
      <c r="D100" s="114">
        <v>157100</v>
      </c>
      <c r="E100" s="117">
        <f>D100-C100</f>
        <v>65574</v>
      </c>
      <c r="F100" s="54"/>
      <c r="G100" s="54"/>
      <c r="H100" s="54"/>
      <c r="I100" s="54"/>
      <c r="J100" s="54"/>
      <c r="K100" s="54"/>
      <c r="L100" s="6"/>
    </row>
    <row r="101" spans="1:12" x14ac:dyDescent="0.25">
      <c r="B101" s="105">
        <v>2013</v>
      </c>
      <c r="C101" s="114">
        <v>93250</v>
      </c>
      <c r="D101" s="114">
        <v>153433</v>
      </c>
      <c r="E101" s="117">
        <f>D101-C101</f>
        <v>60183</v>
      </c>
      <c r="F101" s="54"/>
      <c r="G101" s="54"/>
      <c r="H101" s="54"/>
      <c r="I101" s="54"/>
      <c r="J101" s="54"/>
      <c r="K101" s="54"/>
      <c r="L101" s="6"/>
    </row>
    <row r="102" spans="1:12" x14ac:dyDescent="0.25">
      <c r="B102" s="105">
        <v>2014</v>
      </c>
      <c r="C102" s="114">
        <v>91526</v>
      </c>
      <c r="D102" s="114">
        <v>154713</v>
      </c>
      <c r="E102" s="117">
        <f>D102-C102</f>
        <v>63187</v>
      </c>
      <c r="F102" s="54"/>
      <c r="G102" s="54"/>
      <c r="H102" s="54"/>
      <c r="I102" s="54"/>
      <c r="J102" s="54"/>
      <c r="K102" s="54"/>
      <c r="L102" s="6"/>
    </row>
    <row r="103" spans="1:12" x14ac:dyDescent="0.25">
      <c r="B103" s="105">
        <v>2015</v>
      </c>
      <c r="C103" s="114">
        <v>88725</v>
      </c>
      <c r="D103" s="114">
        <v>158929</v>
      </c>
      <c r="E103" s="117">
        <f>D103-C103</f>
        <v>70204</v>
      </c>
      <c r="F103" s="54"/>
      <c r="G103" s="54"/>
      <c r="H103" s="54"/>
      <c r="I103" s="54"/>
      <c r="J103" s="54"/>
      <c r="K103" s="54"/>
      <c r="L103" s="6"/>
    </row>
    <row r="104" spans="1:12" ht="15.75" thickBot="1" x14ac:dyDescent="0.3">
      <c r="B104" s="106">
        <v>2016</v>
      </c>
      <c r="C104" s="114">
        <v>87159</v>
      </c>
      <c r="D104" s="114">
        <v>149551</v>
      </c>
      <c r="E104" s="117">
        <f>D104-C104</f>
        <v>62392</v>
      </c>
      <c r="F104" s="54"/>
      <c r="G104" s="54"/>
      <c r="H104" s="54"/>
      <c r="I104" s="54"/>
      <c r="J104" s="54"/>
      <c r="K104" s="54"/>
      <c r="L104" s="6"/>
    </row>
    <row r="105" spans="1:12" ht="15.75" thickBot="1" x14ac:dyDescent="0.3">
      <c r="B105" s="144" t="s">
        <v>87</v>
      </c>
      <c r="C105" s="145"/>
      <c r="D105" s="145"/>
      <c r="E105" s="146"/>
      <c r="F105" s="54"/>
      <c r="G105" s="54"/>
      <c r="H105" s="54"/>
      <c r="I105" s="54"/>
      <c r="J105" s="54"/>
      <c r="K105" s="54"/>
      <c r="L105" s="6"/>
    </row>
    <row r="106" spans="1:12" ht="15" customHeight="1" x14ac:dyDescent="0.25">
      <c r="B106" s="164" t="s">
        <v>99</v>
      </c>
      <c r="C106" s="164"/>
      <c r="D106" s="164"/>
      <c r="E106" s="164"/>
      <c r="F106" s="54"/>
      <c r="G106" s="54"/>
      <c r="H106" s="54"/>
      <c r="I106" s="54"/>
      <c r="J106" s="54"/>
      <c r="K106" s="54"/>
      <c r="L106" s="6"/>
    </row>
    <row r="107" spans="1:12" x14ac:dyDescent="0.25">
      <c r="B107" s="118"/>
      <c r="C107" s="118"/>
      <c r="D107" s="118"/>
      <c r="E107" s="113"/>
      <c r="F107" s="54"/>
      <c r="G107" s="54"/>
      <c r="H107" s="54"/>
      <c r="I107" s="54"/>
      <c r="J107" s="54"/>
      <c r="K107" s="54"/>
      <c r="L107" s="6"/>
    </row>
    <row r="108" spans="1:12" ht="15.75" thickBot="1" x14ac:dyDescent="0.3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ht="15.75" thickBot="1" x14ac:dyDescent="0.3">
      <c r="A109" s="112"/>
      <c r="B109" s="135" t="s">
        <v>92</v>
      </c>
      <c r="C109" s="136"/>
      <c r="D109" s="136"/>
      <c r="E109" s="137"/>
      <c r="F109" s="6"/>
      <c r="G109" s="6"/>
      <c r="H109" s="6"/>
      <c r="I109" s="6"/>
      <c r="J109" s="6"/>
      <c r="K109" s="6"/>
      <c r="L109" s="6"/>
    </row>
    <row r="110" spans="1:12" x14ac:dyDescent="0.25">
      <c r="B110" s="130" t="s">
        <v>88</v>
      </c>
      <c r="C110" s="131"/>
      <c r="D110" s="131"/>
      <c r="E110" s="131"/>
      <c r="F110" s="131"/>
      <c r="G110" s="132"/>
      <c r="H110" s="6"/>
      <c r="I110" s="6"/>
      <c r="J110" s="6"/>
      <c r="K110" s="6"/>
      <c r="L110" s="6"/>
    </row>
    <row r="111" spans="1:12" ht="15.75" thickBot="1" x14ac:dyDescent="0.3">
      <c r="B111" s="5" t="s">
        <v>63</v>
      </c>
      <c r="C111" s="14" t="s">
        <v>64</v>
      </c>
      <c r="D111" s="14" t="s">
        <v>25</v>
      </c>
      <c r="E111" s="14" t="s">
        <v>26</v>
      </c>
      <c r="F111" s="14" t="s">
        <v>27</v>
      </c>
      <c r="G111" s="15" t="s">
        <v>28</v>
      </c>
      <c r="H111" s="6"/>
      <c r="I111" s="6"/>
      <c r="J111" s="6"/>
      <c r="K111" s="6"/>
      <c r="L111" s="6"/>
    </row>
    <row r="112" spans="1:12" x14ac:dyDescent="0.25">
      <c r="B112" s="3" t="s">
        <v>30</v>
      </c>
      <c r="C112" s="38">
        <v>3401</v>
      </c>
      <c r="D112" s="23">
        <v>1929.3333333333333</v>
      </c>
      <c r="E112" s="23">
        <v>4934.333333333333</v>
      </c>
      <c r="F112" s="23">
        <v>3005</v>
      </c>
      <c r="G112" s="50">
        <v>0.60899817604539619</v>
      </c>
      <c r="H112" s="6"/>
      <c r="I112" s="6"/>
      <c r="J112" s="6"/>
      <c r="K112" s="6"/>
      <c r="L112" s="6"/>
    </row>
    <row r="113" spans="2:12" x14ac:dyDescent="0.25">
      <c r="B113" s="4" t="s">
        <v>31</v>
      </c>
      <c r="C113" s="41">
        <v>3407</v>
      </c>
      <c r="D113" s="25">
        <v>6694</v>
      </c>
      <c r="E113" s="25">
        <v>12448.666666666666</v>
      </c>
      <c r="F113" s="25">
        <v>5754.666666666667</v>
      </c>
      <c r="G113" s="17">
        <v>0.46227172923472398</v>
      </c>
      <c r="H113" s="6"/>
      <c r="I113" s="6"/>
      <c r="J113" s="6"/>
      <c r="K113" s="6"/>
      <c r="L113" s="6"/>
    </row>
    <row r="114" spans="2:12" x14ac:dyDescent="0.25">
      <c r="B114" s="4" t="s">
        <v>32</v>
      </c>
      <c r="C114" s="41">
        <v>3408</v>
      </c>
      <c r="D114" s="25">
        <v>13509</v>
      </c>
      <c r="E114" s="25">
        <v>18041.333333333332</v>
      </c>
      <c r="F114" s="25">
        <v>4532.333333333333</v>
      </c>
      <c r="G114" s="17">
        <v>0.2512194220678442</v>
      </c>
      <c r="H114" s="6"/>
      <c r="I114" s="6"/>
      <c r="J114" s="6"/>
      <c r="K114" s="6"/>
      <c r="L114" s="6"/>
    </row>
    <row r="115" spans="2:12" x14ac:dyDescent="0.25">
      <c r="B115" s="4" t="s">
        <v>33</v>
      </c>
      <c r="C115" s="41">
        <v>3409</v>
      </c>
      <c r="D115" s="25">
        <v>5524.666666666667</v>
      </c>
      <c r="E115" s="25">
        <v>8541</v>
      </c>
      <c r="F115" s="25">
        <v>3016.3333333333335</v>
      </c>
      <c r="G115" s="17">
        <v>0.35315927096749017</v>
      </c>
      <c r="H115" s="6"/>
      <c r="I115" s="6"/>
      <c r="J115" s="6"/>
      <c r="K115" s="6"/>
      <c r="L115" s="6"/>
    </row>
    <row r="116" spans="2:12" x14ac:dyDescent="0.25">
      <c r="B116" s="4" t="s">
        <v>34</v>
      </c>
      <c r="C116" s="41">
        <v>3410</v>
      </c>
      <c r="D116" s="25">
        <v>3142</v>
      </c>
      <c r="E116" s="25">
        <v>4885.666666666667</v>
      </c>
      <c r="F116" s="25">
        <v>1743.6666666666667</v>
      </c>
      <c r="G116" s="17">
        <v>0.35689431670873983</v>
      </c>
      <c r="H116" s="6"/>
      <c r="I116" s="6"/>
      <c r="J116" s="6"/>
      <c r="K116" s="6"/>
      <c r="L116" s="6"/>
    </row>
    <row r="117" spans="2:12" x14ac:dyDescent="0.25">
      <c r="B117" s="4" t="s">
        <v>35</v>
      </c>
      <c r="C117" s="41">
        <v>3411</v>
      </c>
      <c r="D117" s="25">
        <v>8675.3333333333339</v>
      </c>
      <c r="E117" s="25">
        <v>13190.666666666666</v>
      </c>
      <c r="F117" s="25">
        <v>4515.333333333333</v>
      </c>
      <c r="G117" s="17">
        <v>0.34231274638633374</v>
      </c>
      <c r="H117" s="6"/>
      <c r="I117" s="6"/>
      <c r="J117" s="6"/>
      <c r="K117" s="6"/>
      <c r="L117" s="6"/>
    </row>
    <row r="118" spans="2:12" x14ac:dyDescent="0.25">
      <c r="B118" s="4" t="s">
        <v>36</v>
      </c>
      <c r="C118" s="41">
        <v>3412</v>
      </c>
      <c r="D118" s="25">
        <v>4008.6666666666665</v>
      </c>
      <c r="E118" s="25">
        <v>6743.666666666667</v>
      </c>
      <c r="F118" s="25">
        <v>2735</v>
      </c>
      <c r="G118" s="17">
        <v>0.40556571598042607</v>
      </c>
      <c r="H118" s="6"/>
      <c r="I118" s="6"/>
      <c r="J118" s="6"/>
      <c r="K118" s="6"/>
      <c r="L118" s="6"/>
    </row>
    <row r="119" spans="2:12" x14ac:dyDescent="0.25">
      <c r="B119" s="4" t="s">
        <v>37</v>
      </c>
      <c r="C119" s="41">
        <v>3413</v>
      </c>
      <c r="D119" s="25">
        <v>11178.333333333334</v>
      </c>
      <c r="E119" s="25">
        <v>18803</v>
      </c>
      <c r="F119" s="25">
        <v>7624.666666666667</v>
      </c>
      <c r="G119" s="17">
        <v>0.40550266801396939</v>
      </c>
      <c r="H119" s="6"/>
      <c r="I119" s="6"/>
      <c r="J119" s="6"/>
      <c r="K119" s="6"/>
      <c r="L119" s="6"/>
    </row>
    <row r="120" spans="2:12" x14ac:dyDescent="0.25">
      <c r="B120" s="4" t="s">
        <v>38</v>
      </c>
      <c r="C120" s="41">
        <v>3414</v>
      </c>
      <c r="D120" s="25">
        <v>6906.666666666667</v>
      </c>
      <c r="E120" s="25">
        <v>11864.333333333334</v>
      </c>
      <c r="F120" s="25">
        <v>4957.666666666667</v>
      </c>
      <c r="G120" s="17">
        <v>0.41786306296181835</v>
      </c>
      <c r="H120" s="6"/>
      <c r="I120" s="6"/>
      <c r="J120" s="6"/>
      <c r="K120" s="6"/>
      <c r="L120" s="6"/>
    </row>
    <row r="121" spans="2:12" x14ac:dyDescent="0.25">
      <c r="B121" s="4" t="s">
        <v>39</v>
      </c>
      <c r="C121" s="41">
        <v>3415</v>
      </c>
      <c r="D121" s="25">
        <v>3121.6666666666665</v>
      </c>
      <c r="E121" s="25">
        <v>5436.333333333333</v>
      </c>
      <c r="F121" s="25">
        <v>2314.6666666666665</v>
      </c>
      <c r="G121" s="17">
        <v>0.42577717824514072</v>
      </c>
      <c r="H121" s="6"/>
      <c r="I121" s="6"/>
      <c r="J121" s="6"/>
      <c r="K121" s="6"/>
      <c r="L121" s="6"/>
    </row>
    <row r="122" spans="2:12" x14ac:dyDescent="0.25">
      <c r="B122" s="4" t="s">
        <v>40</v>
      </c>
      <c r="C122" s="41">
        <v>3416</v>
      </c>
      <c r="D122" s="25">
        <v>792.33333333333337</v>
      </c>
      <c r="E122" s="25">
        <v>3364.6666666666665</v>
      </c>
      <c r="F122" s="25">
        <v>2572.3333333333335</v>
      </c>
      <c r="G122" s="17">
        <v>0.76451357241925899</v>
      </c>
      <c r="H122" s="6"/>
      <c r="I122" s="6"/>
      <c r="J122" s="6"/>
      <c r="K122" s="6"/>
      <c r="L122" s="6"/>
    </row>
    <row r="123" spans="2:12" x14ac:dyDescent="0.25">
      <c r="B123" s="4" t="s">
        <v>41</v>
      </c>
      <c r="C123" s="41">
        <v>3417</v>
      </c>
      <c r="D123" s="25">
        <v>1339.3333333333333</v>
      </c>
      <c r="E123" s="25">
        <v>3349.3333333333335</v>
      </c>
      <c r="F123" s="25">
        <v>2010</v>
      </c>
      <c r="G123" s="17">
        <v>0.60011942675159236</v>
      </c>
      <c r="H123" s="6"/>
      <c r="I123" s="6"/>
      <c r="J123" s="6"/>
      <c r="K123" s="6"/>
      <c r="L123" s="6"/>
    </row>
    <row r="124" spans="2:12" x14ac:dyDescent="0.25">
      <c r="B124" s="4" t="s">
        <v>42</v>
      </c>
      <c r="C124" s="41">
        <v>3418</v>
      </c>
      <c r="D124" s="25">
        <v>1061</v>
      </c>
      <c r="E124" s="25">
        <v>3328.3333333333335</v>
      </c>
      <c r="F124" s="25">
        <v>2267.3333333333335</v>
      </c>
      <c r="G124" s="17">
        <v>0.68122183274912373</v>
      </c>
      <c r="H124" s="6"/>
      <c r="I124" s="6"/>
      <c r="J124" s="6"/>
      <c r="K124" s="6"/>
      <c r="L124" s="6"/>
    </row>
    <row r="125" spans="2:12" x14ac:dyDescent="0.25">
      <c r="B125" s="4" t="s">
        <v>43</v>
      </c>
      <c r="C125" s="41">
        <v>3419</v>
      </c>
      <c r="D125" s="25">
        <v>4328</v>
      </c>
      <c r="E125" s="25">
        <v>8595</v>
      </c>
      <c r="F125" s="25">
        <v>4267</v>
      </c>
      <c r="G125" s="17">
        <v>0.49645142524723679</v>
      </c>
      <c r="H125" s="6"/>
      <c r="I125" s="6"/>
      <c r="J125" s="6"/>
      <c r="K125" s="6"/>
      <c r="L125" s="6"/>
    </row>
    <row r="126" spans="2:12" x14ac:dyDescent="0.25">
      <c r="B126" s="4" t="s">
        <v>44</v>
      </c>
      <c r="C126" s="41">
        <v>3420</v>
      </c>
      <c r="D126" s="25">
        <v>5329.666666666667</v>
      </c>
      <c r="E126" s="25">
        <v>9075</v>
      </c>
      <c r="F126" s="25">
        <v>3745.3333333333335</v>
      </c>
      <c r="G126" s="17">
        <v>0.41270890725436182</v>
      </c>
      <c r="H126" s="6"/>
      <c r="I126" s="6"/>
      <c r="J126" s="6"/>
      <c r="K126" s="6"/>
      <c r="L126" s="6"/>
    </row>
    <row r="127" spans="2:12" x14ac:dyDescent="0.25">
      <c r="B127" s="4" t="s">
        <v>45</v>
      </c>
      <c r="C127" s="41">
        <v>3421</v>
      </c>
      <c r="D127" s="25">
        <v>3420.3333333333335</v>
      </c>
      <c r="E127" s="25">
        <v>10210.666666666666</v>
      </c>
      <c r="F127" s="25">
        <v>6790.333333333333</v>
      </c>
      <c r="G127" s="17">
        <v>0.66502350483154871</v>
      </c>
      <c r="H127" s="6"/>
      <c r="I127" s="6"/>
      <c r="J127" s="6"/>
      <c r="K127" s="6"/>
      <c r="L127" s="6"/>
    </row>
    <row r="128" spans="2:12" x14ac:dyDescent="0.25">
      <c r="B128" s="4" t="s">
        <v>46</v>
      </c>
      <c r="C128" s="41">
        <v>3422</v>
      </c>
      <c r="D128" s="25">
        <v>8176.333333333333</v>
      </c>
      <c r="E128" s="25">
        <v>11585.666666666666</v>
      </c>
      <c r="F128" s="25">
        <v>3409.3333333333335</v>
      </c>
      <c r="G128" s="17">
        <v>0.29427165750784018</v>
      </c>
      <c r="H128" s="6"/>
      <c r="I128" s="6"/>
      <c r="J128" s="6"/>
      <c r="K128" s="6"/>
      <c r="L128" s="6"/>
    </row>
    <row r="129" spans="1:12" x14ac:dyDescent="0.25">
      <c r="B129" s="4" t="s">
        <v>47</v>
      </c>
      <c r="C129" s="41">
        <v>3501</v>
      </c>
      <c r="D129" s="25">
        <v>28164.666666666668</v>
      </c>
      <c r="E129" s="25">
        <v>38146</v>
      </c>
      <c r="F129" s="25">
        <v>9981.3333333333339</v>
      </c>
      <c r="G129" s="17">
        <v>0.26166133626942101</v>
      </c>
      <c r="H129" s="6"/>
      <c r="I129" s="6"/>
      <c r="J129" s="6"/>
      <c r="K129" s="6"/>
      <c r="L129" s="6"/>
    </row>
    <row r="130" spans="1:12" x14ac:dyDescent="0.25">
      <c r="B130" s="4" t="s">
        <v>48</v>
      </c>
      <c r="C130" s="41">
        <v>3502</v>
      </c>
      <c r="D130" s="25">
        <v>7440.333333333333</v>
      </c>
      <c r="E130" s="25">
        <v>15165.666666666666</v>
      </c>
      <c r="F130" s="25">
        <v>7725.333333333333</v>
      </c>
      <c r="G130" s="17">
        <v>0.50939622392685235</v>
      </c>
      <c r="H130" s="6"/>
      <c r="I130" s="6"/>
      <c r="J130" s="6"/>
      <c r="K130" s="6"/>
      <c r="L130" s="6"/>
    </row>
    <row r="131" spans="1:12" x14ac:dyDescent="0.25">
      <c r="B131" s="4" t="s">
        <v>49</v>
      </c>
      <c r="C131" s="41">
        <v>3503</v>
      </c>
      <c r="D131" s="25">
        <v>6883.333333333333</v>
      </c>
      <c r="E131" s="25">
        <v>14066.666666666666</v>
      </c>
      <c r="F131" s="25">
        <v>7183.333333333333</v>
      </c>
      <c r="G131" s="17">
        <v>0.51066350710900477</v>
      </c>
      <c r="H131" s="6"/>
      <c r="I131" s="6"/>
      <c r="J131" s="6"/>
      <c r="K131" s="6"/>
      <c r="L131" s="6"/>
    </row>
    <row r="132" spans="1:12" x14ac:dyDescent="0.25">
      <c r="B132" s="4" t="s">
        <v>50</v>
      </c>
      <c r="C132" s="41">
        <v>3504</v>
      </c>
      <c r="D132" s="25">
        <v>9359.3333333333339</v>
      </c>
      <c r="E132" s="25">
        <v>13635.333333333334</v>
      </c>
      <c r="F132" s="25">
        <v>4276</v>
      </c>
      <c r="G132" s="17">
        <v>0.3135970273309539</v>
      </c>
      <c r="H132" s="6"/>
      <c r="I132" s="6"/>
      <c r="J132" s="6"/>
      <c r="K132" s="6"/>
      <c r="L132" s="6"/>
    </row>
    <row r="133" spans="1:12" x14ac:dyDescent="0.25">
      <c r="B133" s="4" t="s">
        <v>51</v>
      </c>
      <c r="C133" s="41">
        <v>3520</v>
      </c>
      <c r="D133" s="25">
        <v>6489.333333333333</v>
      </c>
      <c r="E133" s="25">
        <v>10057.333333333334</v>
      </c>
      <c r="F133" s="25">
        <v>3568</v>
      </c>
      <c r="G133" s="17">
        <v>0.3547660082195413</v>
      </c>
      <c r="H133" s="6"/>
      <c r="I133" s="6"/>
      <c r="J133" s="6"/>
      <c r="K133" s="6"/>
      <c r="L133" s="6"/>
    </row>
    <row r="134" spans="1:12" x14ac:dyDescent="0.25">
      <c r="B134" s="4" t="s">
        <v>52</v>
      </c>
      <c r="C134" s="41">
        <v>3521</v>
      </c>
      <c r="D134" s="25">
        <v>15735.666666666666</v>
      </c>
      <c r="E134" s="25">
        <v>24770.333333333332</v>
      </c>
      <c r="F134" s="25">
        <v>9034.6666666666661</v>
      </c>
      <c r="G134" s="17">
        <v>0.36473738746618939</v>
      </c>
      <c r="H134" s="6"/>
      <c r="I134" s="6"/>
      <c r="J134" s="6"/>
      <c r="K134" s="6"/>
      <c r="L134" s="6"/>
    </row>
    <row r="135" spans="1:12" x14ac:dyDescent="0.25">
      <c r="B135" s="4" t="s">
        <v>53</v>
      </c>
      <c r="C135" s="41">
        <v>3522</v>
      </c>
      <c r="D135" s="25">
        <v>9666</v>
      </c>
      <c r="E135" s="25">
        <v>15864</v>
      </c>
      <c r="F135" s="25">
        <v>6198</v>
      </c>
      <c r="G135" s="17">
        <v>0.39069591527987896</v>
      </c>
      <c r="H135" s="6"/>
      <c r="I135" s="6"/>
      <c r="J135" s="6"/>
      <c r="K135" s="6"/>
      <c r="L135" s="6"/>
    </row>
    <row r="136" spans="1:12" x14ac:dyDescent="0.25">
      <c r="B136" s="4" t="s">
        <v>54</v>
      </c>
      <c r="C136" s="41">
        <v>3523</v>
      </c>
      <c r="D136" s="25">
        <v>23550.666666666668</v>
      </c>
      <c r="E136" s="25">
        <v>32890.333333333336</v>
      </c>
      <c r="F136" s="25">
        <v>9339.6666666666661</v>
      </c>
      <c r="G136" s="17">
        <v>0.28396387996473121</v>
      </c>
      <c r="H136" s="6"/>
      <c r="I136" s="6"/>
      <c r="J136" s="6"/>
      <c r="K136" s="6"/>
      <c r="L136" s="6"/>
    </row>
    <row r="137" spans="1:12" x14ac:dyDescent="0.25">
      <c r="B137" s="4" t="s">
        <v>55</v>
      </c>
      <c r="C137" s="41">
        <v>3524</v>
      </c>
      <c r="D137" s="25">
        <v>14524.333333333334</v>
      </c>
      <c r="E137" s="25">
        <v>23356</v>
      </c>
      <c r="F137" s="25">
        <v>8831.6666666666661</v>
      </c>
      <c r="G137" s="17">
        <v>0.3781326711194839</v>
      </c>
      <c r="H137" s="6"/>
      <c r="I137" s="6"/>
      <c r="J137" s="6"/>
      <c r="K137" s="6"/>
      <c r="L137" s="6"/>
    </row>
    <row r="138" spans="1:12" x14ac:dyDescent="0.25">
      <c r="A138" s="6"/>
      <c r="B138" s="4" t="s">
        <v>65</v>
      </c>
      <c r="C138" s="41">
        <v>3525</v>
      </c>
      <c r="D138" s="25">
        <v>4655</v>
      </c>
      <c r="E138" s="25">
        <v>12477.333333333334</v>
      </c>
      <c r="F138" s="25">
        <v>7822.333333333333</v>
      </c>
      <c r="G138" s="17">
        <v>0.62692348792477015</v>
      </c>
      <c r="H138" s="6"/>
      <c r="I138" s="6"/>
      <c r="J138" s="6"/>
      <c r="K138" s="6"/>
    </row>
    <row r="139" spans="1:12" x14ac:dyDescent="0.25">
      <c r="B139" s="4" t="s">
        <v>56</v>
      </c>
      <c r="C139" s="41">
        <v>3526</v>
      </c>
      <c r="D139" s="25">
        <v>19704.666666666668</v>
      </c>
      <c r="E139" s="25">
        <v>24025.333333333332</v>
      </c>
      <c r="F139" s="25">
        <v>4320.666666666667</v>
      </c>
      <c r="G139" s="17">
        <v>0.17983794883178869</v>
      </c>
      <c r="H139" s="6"/>
      <c r="I139" s="6"/>
      <c r="J139" s="6"/>
      <c r="K139" s="6"/>
    </row>
    <row r="140" spans="1:12" x14ac:dyDescent="0.25">
      <c r="B140" s="4" t="s">
        <v>57</v>
      </c>
      <c r="C140" s="41">
        <v>3527</v>
      </c>
      <c r="D140" s="25">
        <v>6838.333333333333</v>
      </c>
      <c r="E140" s="25">
        <v>9867.6666666666661</v>
      </c>
      <c r="F140" s="25">
        <v>3029.3333333333335</v>
      </c>
      <c r="G140" s="17">
        <v>0.30699591257642811</v>
      </c>
      <c r="H140" s="6"/>
      <c r="I140" s="6"/>
      <c r="J140" s="6"/>
      <c r="K140" s="6"/>
    </row>
    <row r="141" spans="1:12" x14ac:dyDescent="0.25">
      <c r="B141" s="4" t="s">
        <v>58</v>
      </c>
      <c r="C141" s="41">
        <v>3528</v>
      </c>
      <c r="D141" s="25">
        <v>18527.333333333332</v>
      </c>
      <c r="E141" s="25">
        <v>26038.333333333332</v>
      </c>
      <c r="F141" s="25">
        <v>7511</v>
      </c>
      <c r="G141" s="17">
        <v>0.28845932279331754</v>
      </c>
      <c r="H141" s="6"/>
      <c r="I141" s="6"/>
      <c r="J141" s="6"/>
      <c r="K141" s="6"/>
    </row>
    <row r="142" spans="1:12" x14ac:dyDescent="0.25">
      <c r="B142" s="4" t="s">
        <v>59</v>
      </c>
      <c r="C142" s="41">
        <v>3529</v>
      </c>
      <c r="D142" s="25">
        <v>32003.666666666668</v>
      </c>
      <c r="E142" s="25">
        <v>47802</v>
      </c>
      <c r="F142" s="25">
        <v>15798.333333333334</v>
      </c>
      <c r="G142" s="17">
        <v>0.33049523729829994</v>
      </c>
      <c r="H142" s="6"/>
      <c r="I142" s="6"/>
      <c r="J142" s="6"/>
      <c r="K142" s="6"/>
    </row>
    <row r="143" spans="1:12" x14ac:dyDescent="0.25">
      <c r="B143" s="4" t="s">
        <v>60</v>
      </c>
      <c r="C143" s="41">
        <v>3530</v>
      </c>
      <c r="D143" s="25">
        <v>4365.666666666667</v>
      </c>
      <c r="E143" s="25">
        <v>6216.666666666667</v>
      </c>
      <c r="F143" s="25">
        <v>1851</v>
      </c>
      <c r="G143" s="17">
        <v>0.29774798927613938</v>
      </c>
      <c r="H143" s="6"/>
      <c r="I143" s="6"/>
      <c r="J143" s="6"/>
      <c r="K143" s="6"/>
    </row>
    <row r="144" spans="1:12" x14ac:dyDescent="0.25">
      <c r="B144" s="4" t="s">
        <v>61</v>
      </c>
      <c r="C144" s="41">
        <v>3531</v>
      </c>
      <c r="D144" s="25">
        <v>15912</v>
      </c>
      <c r="E144" s="25">
        <v>21950</v>
      </c>
      <c r="F144" s="25">
        <v>6038</v>
      </c>
      <c r="G144" s="17">
        <v>0.27507972665148062</v>
      </c>
      <c r="H144" s="6"/>
      <c r="I144" s="6"/>
      <c r="J144" s="6"/>
      <c r="K144" s="6"/>
    </row>
    <row r="145" spans="1:11" ht="15.75" thickBot="1" x14ac:dyDescent="0.3">
      <c r="B145" s="5" t="s">
        <v>62</v>
      </c>
      <c r="C145" s="14">
        <v>3532</v>
      </c>
      <c r="D145" s="31">
        <v>12581.333333333334</v>
      </c>
      <c r="E145" s="31">
        <v>16798.333333333332</v>
      </c>
      <c r="F145" s="31">
        <v>4217</v>
      </c>
      <c r="G145" s="18">
        <v>0.25103680920726262</v>
      </c>
      <c r="H145" s="6"/>
      <c r="I145" s="6"/>
      <c r="J145" s="6"/>
      <c r="K145" s="6"/>
    </row>
    <row r="146" spans="1:11" ht="15.75" thickBot="1" x14ac:dyDescent="0.3">
      <c r="B146" s="150" t="s">
        <v>89</v>
      </c>
      <c r="C146" s="151"/>
    </row>
    <row r="147" spans="1:11" x14ac:dyDescent="0.25">
      <c r="A147" s="110"/>
      <c r="B147" s="109"/>
      <c r="C147" s="109"/>
    </row>
  </sheetData>
  <mergeCells count="34">
    <mergeCell ref="B87:D87"/>
    <mergeCell ref="B97:D97"/>
    <mergeCell ref="B106:E106"/>
    <mergeCell ref="B88:E88"/>
    <mergeCell ref="B95:E95"/>
    <mergeCell ref="B98:E98"/>
    <mergeCell ref="B105:E105"/>
    <mergeCell ref="B146:C146"/>
    <mergeCell ref="B53:D53"/>
    <mergeCell ref="B74:D74"/>
    <mergeCell ref="B27:D27"/>
    <mergeCell ref="B38:D38"/>
    <mergeCell ref="B51:D51"/>
    <mergeCell ref="B61:D61"/>
    <mergeCell ref="B110:G110"/>
    <mergeCell ref="B30:H30"/>
    <mergeCell ref="B29:D29"/>
    <mergeCell ref="B64:E64"/>
    <mergeCell ref="F76:H76"/>
    <mergeCell ref="C76:E76"/>
    <mergeCell ref="B109:E109"/>
    <mergeCell ref="B72:D72"/>
    <mergeCell ref="B85:D85"/>
    <mergeCell ref="R76:T76"/>
    <mergeCell ref="B75:T75"/>
    <mergeCell ref="O76:Q76"/>
    <mergeCell ref="L76:N76"/>
    <mergeCell ref="B7:D7"/>
    <mergeCell ref="B10:D10"/>
    <mergeCell ref="B11:E11"/>
    <mergeCell ref="I76:K76"/>
    <mergeCell ref="B63:D63"/>
    <mergeCell ref="B41:H41"/>
    <mergeCell ref="B54:J5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Views>
    <sheetView zoomScale="80" zoomScaleNormal="80" workbookViewId="0"/>
  </sheetViews>
  <sheetFormatPr defaultRowHeight="15" x14ac:dyDescent="0.25"/>
  <cols>
    <col min="2" max="2" width="41.28515625" bestFit="1" customWidth="1"/>
    <col min="3" max="3" width="18.5703125" bestFit="1" customWidth="1"/>
    <col min="4" max="4" width="66" customWidth="1"/>
    <col min="5" max="6" width="35.7109375" bestFit="1" customWidth="1"/>
    <col min="7" max="7" width="30" bestFit="1" customWidth="1"/>
    <col min="8" max="8" width="34.85546875" bestFit="1" customWidth="1"/>
    <col min="9" max="9" width="21" bestFit="1" customWidth="1"/>
    <col min="10" max="10" width="27.7109375" bestFit="1" customWidth="1"/>
    <col min="11" max="11" width="34.85546875" bestFit="1" customWidth="1"/>
    <col min="12" max="12" width="18.5703125" bestFit="1" customWidth="1"/>
    <col min="13" max="13" width="27.7109375" bestFit="1" customWidth="1"/>
    <col min="14" max="14" width="34.85546875" bestFit="1" customWidth="1"/>
    <col min="15" max="15" width="18.5703125" bestFit="1" customWidth="1"/>
    <col min="16" max="16" width="27.7109375" bestFit="1" customWidth="1"/>
    <col min="17" max="17" width="34.85546875" bestFit="1" customWidth="1"/>
    <col min="18" max="18" width="19.140625" customWidth="1"/>
    <col min="19" max="19" width="27.42578125" customWidth="1"/>
    <col min="20" max="20" width="34.42578125" customWidth="1"/>
  </cols>
  <sheetData>
    <row r="1" spans="1:1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6"/>
    </row>
    <row r="3" spans="1:11" x14ac:dyDescent="0.25">
      <c r="A3" s="6"/>
    </row>
    <row r="4" spans="1:11" x14ac:dyDescent="0.25">
      <c r="A4" s="6"/>
    </row>
    <row r="5" spans="1:11" x14ac:dyDescent="0.25">
      <c r="A5" s="6"/>
    </row>
    <row r="6" spans="1:11" x14ac:dyDescent="0.25">
      <c r="A6" s="6"/>
    </row>
    <row r="7" spans="1:11" ht="18.75" x14ac:dyDescent="0.3">
      <c r="A7" s="6"/>
      <c r="B7" s="134" t="s">
        <v>70</v>
      </c>
      <c r="C7" s="134"/>
      <c r="D7" s="134"/>
      <c r="E7" s="56"/>
      <c r="F7" s="56"/>
    </row>
    <row r="8" spans="1:11" x14ac:dyDescent="0.25">
      <c r="A8" s="6"/>
      <c r="B8" s="57"/>
    </row>
    <row r="9" spans="1:11" ht="15.75" thickBot="1" x14ac:dyDescent="0.3">
      <c r="A9" s="6"/>
    </row>
    <row r="10" spans="1:11" ht="15.75" thickBot="1" x14ac:dyDescent="0.3">
      <c r="A10" s="7"/>
      <c r="B10" s="135" t="s">
        <v>66</v>
      </c>
      <c r="C10" s="136"/>
      <c r="D10" s="137"/>
    </row>
    <row r="11" spans="1:11" x14ac:dyDescent="0.25">
      <c r="A11" s="6"/>
      <c r="B11" s="138" t="s">
        <v>71</v>
      </c>
      <c r="C11" s="139"/>
      <c r="D11" s="139"/>
      <c r="E11" s="140"/>
      <c r="F11" s="6"/>
      <c r="G11" s="6"/>
      <c r="H11" s="6"/>
      <c r="I11" s="6"/>
      <c r="J11" s="6"/>
      <c r="K11" s="6"/>
    </row>
    <row r="12" spans="1:11" ht="15" customHeight="1" thickBot="1" x14ac:dyDescent="0.3">
      <c r="A12" s="6"/>
      <c r="B12" s="5"/>
      <c r="C12" s="14" t="s">
        <v>0</v>
      </c>
      <c r="D12" s="14" t="s">
        <v>1</v>
      </c>
      <c r="E12" s="15" t="s">
        <v>2</v>
      </c>
      <c r="F12" s="6"/>
      <c r="G12" s="6"/>
      <c r="H12" s="6"/>
      <c r="I12" s="6"/>
      <c r="J12" s="6"/>
      <c r="K12" s="6"/>
    </row>
    <row r="13" spans="1:11" ht="15" customHeight="1" x14ac:dyDescent="0.25">
      <c r="A13" s="6"/>
      <c r="B13" s="29">
        <v>1990</v>
      </c>
      <c r="C13" s="74">
        <v>836596.01760000002</v>
      </c>
      <c r="D13" s="74">
        <v>1042938.571</v>
      </c>
      <c r="E13" s="50">
        <v>0.44500000000000001</v>
      </c>
      <c r="F13" s="6"/>
      <c r="G13" s="6"/>
      <c r="H13" s="6"/>
      <c r="I13" s="6"/>
      <c r="J13" s="6"/>
      <c r="K13" s="6"/>
    </row>
    <row r="14" spans="1:11" ht="15" customHeight="1" x14ac:dyDescent="0.25">
      <c r="A14" s="6"/>
      <c r="B14" s="29">
        <v>2000</v>
      </c>
      <c r="C14" s="74">
        <v>829336</v>
      </c>
      <c r="D14" s="74">
        <v>1142780</v>
      </c>
      <c r="E14" s="50">
        <v>0.42053104381283862</v>
      </c>
      <c r="F14" s="6"/>
      <c r="G14" s="6"/>
      <c r="H14" s="6"/>
      <c r="I14" s="6"/>
      <c r="J14" s="6"/>
      <c r="K14" s="6"/>
    </row>
    <row r="15" spans="1:11" ht="15" customHeight="1" x14ac:dyDescent="0.25">
      <c r="A15" s="6"/>
      <c r="B15" s="21">
        <v>2005</v>
      </c>
      <c r="C15" s="19">
        <v>740067</v>
      </c>
      <c r="D15" s="19">
        <v>1189862</v>
      </c>
      <c r="E15" s="17">
        <v>0.3834685110177628</v>
      </c>
      <c r="F15" s="6"/>
      <c r="G15" s="6"/>
      <c r="H15" s="6"/>
      <c r="I15" s="6"/>
      <c r="J15" s="6"/>
      <c r="K15" s="6"/>
    </row>
    <row r="16" spans="1:11" ht="15" customHeight="1" x14ac:dyDescent="0.25">
      <c r="A16" s="6"/>
      <c r="B16" s="21">
        <v>2006</v>
      </c>
      <c r="C16" s="19">
        <v>740365</v>
      </c>
      <c r="D16" s="19">
        <v>1191831</v>
      </c>
      <c r="E16" s="17">
        <v>0.38317282511712064</v>
      </c>
      <c r="F16" s="6"/>
      <c r="G16" s="6"/>
      <c r="H16" s="6"/>
      <c r="I16" s="6"/>
      <c r="J16" s="6"/>
      <c r="K16" s="6"/>
    </row>
    <row r="17" spans="1:11" x14ac:dyDescent="0.25">
      <c r="A17" s="6"/>
      <c r="B17" s="21">
        <v>2007</v>
      </c>
      <c r="C17" s="19">
        <v>730839.99999999825</v>
      </c>
      <c r="D17" s="19">
        <v>1209895.0000000014</v>
      </c>
      <c r="E17" s="17">
        <v>0.37657897652178102</v>
      </c>
      <c r="F17" s="6"/>
      <c r="G17" s="6"/>
      <c r="H17" s="6"/>
      <c r="I17" s="6"/>
      <c r="J17" s="6"/>
      <c r="K17" s="6"/>
    </row>
    <row r="18" spans="1:11" x14ac:dyDescent="0.25">
      <c r="A18" s="6"/>
      <c r="B18" s="21">
        <v>2008</v>
      </c>
      <c r="C18" s="19">
        <v>755292</v>
      </c>
      <c r="D18" s="19">
        <v>1186408</v>
      </c>
      <c r="E18" s="17">
        <v>0.38898491013029818</v>
      </c>
      <c r="F18" s="6"/>
      <c r="G18" s="6"/>
      <c r="H18" s="6"/>
      <c r="I18" s="6"/>
      <c r="J18" s="6"/>
      <c r="K18" s="6"/>
    </row>
    <row r="19" spans="1:11" x14ac:dyDescent="0.25">
      <c r="A19" s="6"/>
      <c r="B19" s="21">
        <v>2009</v>
      </c>
      <c r="C19" s="19">
        <v>785753</v>
      </c>
      <c r="D19" s="19">
        <v>1145615</v>
      </c>
      <c r="E19" s="17">
        <v>0.40683753691683822</v>
      </c>
      <c r="F19" s="6"/>
      <c r="G19" s="6"/>
      <c r="H19" s="6"/>
      <c r="I19" s="6"/>
      <c r="J19" s="6"/>
      <c r="K19" s="6"/>
    </row>
    <row r="20" spans="1:11" x14ac:dyDescent="0.25">
      <c r="A20" s="6"/>
      <c r="B20" s="21">
        <v>2010</v>
      </c>
      <c r="C20" s="19">
        <v>793084</v>
      </c>
      <c r="D20" s="19">
        <v>1129051</v>
      </c>
      <c r="E20" s="17">
        <v>0.41260577430825618</v>
      </c>
      <c r="F20" s="6"/>
      <c r="G20" s="6"/>
      <c r="H20" s="6"/>
      <c r="I20" s="6"/>
      <c r="J20" s="6"/>
      <c r="K20" s="6"/>
    </row>
    <row r="21" spans="1:11" x14ac:dyDescent="0.25">
      <c r="A21" s="6"/>
      <c r="B21" s="21">
        <v>2011</v>
      </c>
      <c r="C21" s="19">
        <v>807359</v>
      </c>
      <c r="D21" s="19">
        <v>1109554</v>
      </c>
      <c r="E21" s="17">
        <v>0.42117665225286699</v>
      </c>
      <c r="F21" s="6"/>
      <c r="G21" s="6"/>
      <c r="H21" s="6"/>
      <c r="I21" s="6"/>
      <c r="J21" s="6"/>
      <c r="K21" s="6"/>
    </row>
    <row r="22" spans="1:11" x14ac:dyDescent="0.25">
      <c r="A22" s="6"/>
      <c r="B22" s="21">
        <v>2012</v>
      </c>
      <c r="C22" s="19">
        <v>828513</v>
      </c>
      <c r="D22" s="19">
        <v>1107488</v>
      </c>
      <c r="E22" s="17">
        <v>0.42795070870314633</v>
      </c>
      <c r="F22" s="6"/>
      <c r="G22" s="6"/>
      <c r="H22" s="6"/>
      <c r="I22" s="6"/>
      <c r="J22" s="6"/>
      <c r="K22" s="6"/>
    </row>
    <row r="23" spans="1:11" x14ac:dyDescent="0.25">
      <c r="A23" s="6"/>
      <c r="B23" s="21">
        <v>2013</v>
      </c>
      <c r="C23" s="19">
        <v>845168</v>
      </c>
      <c r="D23" s="19">
        <v>1094725</v>
      </c>
      <c r="E23" s="17">
        <v>0.43567763789033725</v>
      </c>
      <c r="F23" s="6"/>
      <c r="G23" s="6"/>
      <c r="H23" s="6"/>
      <c r="I23" s="6"/>
      <c r="J23" s="6"/>
      <c r="K23" s="6"/>
    </row>
    <row r="24" spans="1:11" x14ac:dyDescent="0.25">
      <c r="A24" s="6"/>
      <c r="B24" s="21">
        <v>2014</v>
      </c>
      <c r="C24" s="19">
        <v>846293</v>
      </c>
      <c r="D24" s="19">
        <v>1091761</v>
      </c>
      <c r="E24" s="17">
        <v>0.43667152721234803</v>
      </c>
      <c r="F24" s="6"/>
      <c r="G24" s="6"/>
      <c r="H24" s="6"/>
      <c r="I24" s="6"/>
      <c r="J24" s="6"/>
      <c r="K24" s="6"/>
    </row>
    <row r="25" spans="1:11" x14ac:dyDescent="0.25">
      <c r="A25" s="6"/>
      <c r="B25" s="69">
        <v>2015</v>
      </c>
      <c r="C25" s="84">
        <v>864156.99999999942</v>
      </c>
      <c r="D25" s="84">
        <v>1090549.9999999972</v>
      </c>
      <c r="E25" s="85">
        <v>0.44209029793212018</v>
      </c>
      <c r="F25" s="6"/>
      <c r="G25" s="6"/>
      <c r="H25" s="6"/>
      <c r="I25" s="6"/>
      <c r="J25" s="6"/>
      <c r="K25" s="6"/>
    </row>
    <row r="26" spans="1:11" ht="15.75" thickBot="1" x14ac:dyDescent="0.3">
      <c r="A26" s="6"/>
      <c r="B26" s="22">
        <v>2016</v>
      </c>
      <c r="C26" s="20">
        <v>863054</v>
      </c>
      <c r="D26" s="20">
        <v>1100916</v>
      </c>
      <c r="E26" s="18">
        <v>0.439</v>
      </c>
      <c r="F26" s="6"/>
      <c r="G26" s="6"/>
      <c r="H26" s="6"/>
      <c r="I26" s="6"/>
      <c r="J26" s="6"/>
      <c r="K26" s="6"/>
    </row>
    <row r="27" spans="1:11" ht="15.75" thickBot="1" x14ac:dyDescent="0.3">
      <c r="A27" s="6"/>
      <c r="B27" s="155" t="s">
        <v>72</v>
      </c>
      <c r="C27" s="156"/>
      <c r="D27" s="157"/>
      <c r="E27" s="51"/>
      <c r="F27" s="6"/>
      <c r="G27" s="68"/>
      <c r="H27" s="68"/>
      <c r="I27" s="6"/>
      <c r="J27" s="6"/>
      <c r="K27" s="6"/>
    </row>
    <row r="28" spans="1:11" ht="15.75" thickBot="1" x14ac:dyDescent="0.3">
      <c r="A28" s="6"/>
      <c r="B28" s="7"/>
      <c r="C28" s="8"/>
      <c r="D28" s="8"/>
      <c r="E28" s="9"/>
      <c r="F28" s="6"/>
      <c r="G28" s="6"/>
      <c r="H28" s="6"/>
      <c r="I28" s="6"/>
      <c r="J28" s="6"/>
      <c r="K28" s="6"/>
    </row>
    <row r="29" spans="1:11" ht="15.75" thickBot="1" x14ac:dyDescent="0.3">
      <c r="A29" s="6"/>
      <c r="B29" s="135" t="s">
        <v>67</v>
      </c>
      <c r="C29" s="136"/>
      <c r="D29" s="137"/>
      <c r="E29" s="7"/>
      <c r="F29" s="7"/>
      <c r="G29" s="7"/>
      <c r="H29" s="7"/>
      <c r="I29" s="6"/>
      <c r="J29" s="6"/>
      <c r="K29" s="6"/>
    </row>
    <row r="30" spans="1:11" ht="15.75" thickBot="1" x14ac:dyDescent="0.3">
      <c r="A30" s="6"/>
      <c r="B30" s="169" t="s">
        <v>73</v>
      </c>
      <c r="C30" s="170"/>
      <c r="D30" s="170"/>
      <c r="E30" s="170"/>
      <c r="F30" s="170"/>
      <c r="G30" s="170"/>
      <c r="H30" s="126"/>
      <c r="I30" s="6"/>
      <c r="J30" s="6"/>
      <c r="K30" s="6"/>
    </row>
    <row r="31" spans="1:11" ht="15.75" thickBot="1" x14ac:dyDescent="0.3">
      <c r="A31" s="6"/>
      <c r="B31" s="124"/>
      <c r="C31" s="79" t="s">
        <v>3</v>
      </c>
      <c r="D31" s="79" t="s">
        <v>4</v>
      </c>
      <c r="E31" s="79" t="s">
        <v>5</v>
      </c>
      <c r="F31" s="79" t="s">
        <v>6</v>
      </c>
      <c r="G31" s="125" t="s">
        <v>85</v>
      </c>
      <c r="H31" s="123"/>
      <c r="I31" s="6"/>
      <c r="J31" s="6"/>
      <c r="K31" s="6"/>
    </row>
    <row r="32" spans="1:11" x14ac:dyDescent="0.25">
      <c r="A32" s="6"/>
      <c r="B32" s="29">
        <v>2007</v>
      </c>
      <c r="C32" s="23">
        <v>222805.00000000035</v>
      </c>
      <c r="D32" s="23">
        <v>128632.00000000003</v>
      </c>
      <c r="E32" s="23">
        <v>144209.00000000003</v>
      </c>
      <c r="F32" s="23">
        <v>123373.99999999997</v>
      </c>
      <c r="G32" s="119">
        <v>111820.00000000003</v>
      </c>
      <c r="H32" s="53"/>
      <c r="I32" s="6"/>
      <c r="J32" s="6"/>
      <c r="K32" s="6"/>
    </row>
    <row r="33" spans="1:11" x14ac:dyDescent="0.25">
      <c r="A33" s="6"/>
      <c r="B33" s="29">
        <v>2012</v>
      </c>
      <c r="C33" s="23">
        <v>254569.0000000002</v>
      </c>
      <c r="D33" s="23">
        <v>130664.00000000003</v>
      </c>
      <c r="E33" s="23">
        <v>159057.99999999985</v>
      </c>
      <c r="F33" s="23">
        <v>121273.99999999996</v>
      </c>
      <c r="G33" s="119">
        <v>162947.99999999988</v>
      </c>
      <c r="H33" s="53"/>
      <c r="I33" s="6"/>
      <c r="J33" s="6"/>
      <c r="K33" s="6"/>
    </row>
    <row r="34" spans="1:11" x14ac:dyDescent="0.25">
      <c r="A34" s="6"/>
      <c r="B34" s="29">
        <v>2013</v>
      </c>
      <c r="C34" s="23">
        <v>249787.9999999998</v>
      </c>
      <c r="D34" s="23">
        <v>135664.00000000006</v>
      </c>
      <c r="E34" s="23">
        <v>148035.00000000012</v>
      </c>
      <c r="F34" s="23">
        <v>137269.00000000003</v>
      </c>
      <c r="G34" s="119">
        <v>174412.00000000017</v>
      </c>
      <c r="H34" s="53"/>
      <c r="I34" s="6"/>
      <c r="J34" s="6"/>
      <c r="K34" s="6"/>
    </row>
    <row r="35" spans="1:11" x14ac:dyDescent="0.25">
      <c r="A35" s="6"/>
      <c r="B35" s="69">
        <v>2014</v>
      </c>
      <c r="C35" s="70">
        <v>240827.99999999988</v>
      </c>
      <c r="D35" s="70">
        <v>138553.99999999988</v>
      </c>
      <c r="E35" s="70">
        <v>150093.99999999974</v>
      </c>
      <c r="F35" s="70">
        <v>140343.99999999997</v>
      </c>
      <c r="G35" s="120">
        <v>176473.00000000012</v>
      </c>
      <c r="H35" s="53"/>
      <c r="I35" s="6"/>
      <c r="J35" s="6"/>
      <c r="K35" s="6"/>
    </row>
    <row r="36" spans="1:11" x14ac:dyDescent="0.25">
      <c r="A36" s="6"/>
      <c r="B36" s="69">
        <v>2015</v>
      </c>
      <c r="C36" s="86">
        <v>238195.99999999971</v>
      </c>
      <c r="D36" s="86">
        <v>158669.99999999965</v>
      </c>
      <c r="E36" s="86">
        <v>157474</v>
      </c>
      <c r="F36" s="86">
        <v>127950.00000000004</v>
      </c>
      <c r="G36" s="121">
        <v>181867.00000000009</v>
      </c>
      <c r="H36" s="52"/>
      <c r="I36" s="6"/>
      <c r="J36" s="6"/>
      <c r="K36" s="6"/>
    </row>
    <row r="37" spans="1:11" ht="15.75" thickBot="1" x14ac:dyDescent="0.3">
      <c r="A37" s="6"/>
      <c r="B37" s="22">
        <v>2016</v>
      </c>
      <c r="C37" s="27">
        <v>240873.9999999998</v>
      </c>
      <c r="D37" s="27">
        <v>144864.99999999994</v>
      </c>
      <c r="E37" s="27">
        <v>158637.99999999977</v>
      </c>
      <c r="F37" s="27">
        <v>131447</v>
      </c>
      <c r="G37" s="122">
        <v>187229.99999999991</v>
      </c>
      <c r="H37" s="52"/>
      <c r="I37" s="6"/>
      <c r="J37" s="6"/>
      <c r="K37" s="6"/>
    </row>
    <row r="38" spans="1:11" ht="15.75" thickBot="1" x14ac:dyDescent="0.3">
      <c r="A38" s="6"/>
      <c r="B38" s="155" t="s">
        <v>74</v>
      </c>
      <c r="C38" s="156"/>
      <c r="D38" s="157"/>
      <c r="E38" s="52"/>
      <c r="F38" s="52"/>
      <c r="G38" s="52"/>
      <c r="H38" s="52"/>
      <c r="I38" s="6"/>
      <c r="J38" s="6"/>
      <c r="K38" s="6"/>
    </row>
    <row r="39" spans="1:11" ht="15.75" thickBot="1" x14ac:dyDescent="0.3">
      <c r="A39" s="6"/>
      <c r="B39" s="7"/>
      <c r="C39" s="10"/>
      <c r="D39" s="10"/>
      <c r="E39" s="10"/>
      <c r="F39" s="10"/>
      <c r="G39" s="10"/>
      <c r="H39" s="10"/>
      <c r="I39" s="6"/>
      <c r="J39" s="6"/>
      <c r="K39" s="6"/>
    </row>
    <row r="40" spans="1:11" ht="15.75" thickBot="1" x14ac:dyDescent="0.3">
      <c r="A40" s="6"/>
      <c r="B40" s="77" t="s">
        <v>68</v>
      </c>
      <c r="C40" s="78"/>
      <c r="D40" s="7"/>
      <c r="E40" s="7"/>
      <c r="F40" s="6"/>
      <c r="G40" s="10"/>
      <c r="H40" s="10"/>
      <c r="I40" s="6"/>
      <c r="J40" s="6"/>
      <c r="K40" s="6"/>
    </row>
    <row r="41" spans="1:11" x14ac:dyDescent="0.25">
      <c r="A41" s="6"/>
      <c r="B41" s="147" t="s">
        <v>75</v>
      </c>
      <c r="C41" s="148"/>
      <c r="D41" s="148"/>
      <c r="E41" s="148"/>
      <c r="F41" s="148"/>
      <c r="G41" s="148"/>
      <c r="H41" s="149"/>
      <c r="I41" s="6"/>
      <c r="J41" s="6"/>
      <c r="K41" s="6"/>
    </row>
    <row r="42" spans="1:11" ht="15.75" thickBot="1" x14ac:dyDescent="0.3">
      <c r="A42" s="6"/>
      <c r="B42" s="5" t="s">
        <v>7</v>
      </c>
      <c r="C42" s="14">
        <v>2007</v>
      </c>
      <c r="D42" s="14">
        <v>2012</v>
      </c>
      <c r="E42" s="14">
        <v>2013</v>
      </c>
      <c r="F42" s="14">
        <v>2014</v>
      </c>
      <c r="G42" s="14">
        <v>2015</v>
      </c>
      <c r="H42" s="89">
        <v>2016</v>
      </c>
      <c r="I42" s="6"/>
      <c r="J42" s="6"/>
      <c r="K42" s="6"/>
    </row>
    <row r="43" spans="1:11" x14ac:dyDescent="0.25">
      <c r="A43" s="6"/>
      <c r="B43" s="3" t="s">
        <v>8</v>
      </c>
      <c r="C43" s="23">
        <v>66400.999999999985</v>
      </c>
      <c r="D43" s="23">
        <v>57446.999999999942</v>
      </c>
      <c r="E43" s="23">
        <v>56750</v>
      </c>
      <c r="F43" s="88">
        <v>50614</v>
      </c>
      <c r="G43" s="90">
        <v>51612.000000000022</v>
      </c>
      <c r="H43" s="93">
        <v>55362.000000000007</v>
      </c>
      <c r="I43" s="6"/>
      <c r="J43" s="6"/>
      <c r="K43" s="6"/>
    </row>
    <row r="44" spans="1:11" x14ac:dyDescent="0.25">
      <c r="A44" s="6"/>
      <c r="B44" s="4" t="s">
        <v>9</v>
      </c>
      <c r="C44" s="25">
        <v>188030.99999999988</v>
      </c>
      <c r="D44" s="25">
        <v>255528.00000000041</v>
      </c>
      <c r="E44" s="25">
        <v>254331.99999999953</v>
      </c>
      <c r="F44" s="40">
        <v>263784</v>
      </c>
      <c r="G44" s="91">
        <v>255764.00000000035</v>
      </c>
      <c r="H44" s="26">
        <v>257462.99999999997</v>
      </c>
      <c r="I44" s="6"/>
      <c r="J44" s="6"/>
      <c r="K44" s="6"/>
    </row>
    <row r="45" spans="1:11" x14ac:dyDescent="0.25">
      <c r="A45" s="6"/>
      <c r="B45" s="4" t="s">
        <v>10</v>
      </c>
      <c r="C45" s="25">
        <v>158487.99999999994</v>
      </c>
      <c r="D45" s="25">
        <v>167763.99999999994</v>
      </c>
      <c r="E45" s="25">
        <v>182252.99999999977</v>
      </c>
      <c r="F45" s="40">
        <v>180135</v>
      </c>
      <c r="G45" s="91">
        <v>185879.00000000015</v>
      </c>
      <c r="H45" s="26">
        <v>178148.00000000029</v>
      </c>
      <c r="I45" s="6"/>
      <c r="J45" s="6"/>
      <c r="K45" s="6"/>
    </row>
    <row r="46" spans="1:11" x14ac:dyDescent="0.25">
      <c r="A46" s="6"/>
      <c r="B46" s="4" t="s">
        <v>11</v>
      </c>
      <c r="C46" s="25">
        <v>133980.00000000003</v>
      </c>
      <c r="D46" s="25">
        <v>136722.99999999994</v>
      </c>
      <c r="E46" s="25">
        <v>141309.00000000003</v>
      </c>
      <c r="F46" s="40">
        <v>131730</v>
      </c>
      <c r="G46" s="91">
        <v>136865.00000000009</v>
      </c>
      <c r="H46" s="26">
        <v>135140.00000000012</v>
      </c>
      <c r="I46" s="6"/>
      <c r="J46" s="6"/>
      <c r="K46" s="6"/>
    </row>
    <row r="47" spans="1:11" x14ac:dyDescent="0.25">
      <c r="A47" s="6"/>
      <c r="B47" s="4" t="s">
        <v>12</v>
      </c>
      <c r="C47" s="25">
        <v>86845.000000000131</v>
      </c>
      <c r="D47" s="25">
        <v>101681.99999999997</v>
      </c>
      <c r="E47" s="25">
        <v>103379.00000000003</v>
      </c>
      <c r="F47" s="40">
        <v>110598</v>
      </c>
      <c r="G47" s="91">
        <v>113029.00000000012</v>
      </c>
      <c r="H47" s="26">
        <v>111102.99999999984</v>
      </c>
      <c r="I47" s="6"/>
      <c r="J47" s="6"/>
      <c r="K47" s="6"/>
    </row>
    <row r="48" spans="1:11" x14ac:dyDescent="0.25">
      <c r="A48" s="6"/>
      <c r="B48" s="4" t="s">
        <v>13</v>
      </c>
      <c r="C48" s="25">
        <v>49283.999999999985</v>
      </c>
      <c r="D48" s="25">
        <v>56293.000000000015</v>
      </c>
      <c r="E48" s="25">
        <v>57663</v>
      </c>
      <c r="F48" s="40">
        <v>59979</v>
      </c>
      <c r="G48" s="91">
        <v>66581.000000000015</v>
      </c>
      <c r="H48" s="26">
        <v>68869.000000000029</v>
      </c>
      <c r="I48" s="6"/>
      <c r="J48" s="6"/>
      <c r="K48" s="6"/>
    </row>
    <row r="49" spans="1:11" x14ac:dyDescent="0.25">
      <c r="A49" s="6"/>
      <c r="B49" s="4" t="s">
        <v>14</v>
      </c>
      <c r="C49" s="25">
        <v>47811</v>
      </c>
      <c r="D49" s="25">
        <v>53076.000000000007</v>
      </c>
      <c r="E49" s="25">
        <v>49481.999999999985</v>
      </c>
      <c r="F49" s="40">
        <v>49453</v>
      </c>
      <c r="G49" s="91">
        <v>54427.000000000015</v>
      </c>
      <c r="H49" s="26">
        <v>56969.000000000036</v>
      </c>
      <c r="I49" s="6"/>
      <c r="J49" s="6"/>
      <c r="K49" s="6"/>
    </row>
    <row r="50" spans="1:11" ht="15.75" thickBot="1" x14ac:dyDescent="0.3">
      <c r="A50" s="6"/>
      <c r="B50" s="5" t="s">
        <v>15</v>
      </c>
      <c r="C50" s="31">
        <v>730839.99999999825</v>
      </c>
      <c r="D50" s="31">
        <v>828513.00000000023</v>
      </c>
      <c r="E50" s="31">
        <v>845167.9999999993</v>
      </c>
      <c r="F50" s="76">
        <v>846293</v>
      </c>
      <c r="G50" s="92">
        <v>864157.0000000007</v>
      </c>
      <c r="H50" s="94">
        <v>863054.00000000035</v>
      </c>
      <c r="I50" s="97"/>
      <c r="J50" s="6"/>
      <c r="K50" s="6"/>
    </row>
    <row r="51" spans="1:11" ht="15.75" thickBot="1" x14ac:dyDescent="0.3">
      <c r="A51" s="6"/>
      <c r="B51" s="144" t="s">
        <v>74</v>
      </c>
      <c r="C51" s="145"/>
      <c r="D51" s="146"/>
      <c r="E51" s="53"/>
      <c r="F51" s="10"/>
      <c r="G51" s="10"/>
      <c r="H51" s="6"/>
      <c r="I51" s="6"/>
      <c r="J51" s="6"/>
      <c r="K51" s="6"/>
    </row>
    <row r="52" spans="1:11" x14ac:dyDescent="0.25">
      <c r="A52" s="6"/>
      <c r="B52" s="7"/>
      <c r="C52" s="10"/>
      <c r="D52" s="10"/>
      <c r="E52" s="10"/>
      <c r="F52" s="10"/>
      <c r="G52" s="10"/>
      <c r="H52" s="10"/>
      <c r="I52" s="6"/>
      <c r="J52" s="6"/>
      <c r="K52" s="6"/>
    </row>
    <row r="53" spans="1:11" x14ac:dyDescent="0.25">
      <c r="B53" s="168" t="s">
        <v>81</v>
      </c>
      <c r="C53" s="168"/>
      <c r="D53" s="168"/>
    </row>
    <row r="54" spans="1:11" x14ac:dyDescent="0.25">
      <c r="C54" t="s">
        <v>3</v>
      </c>
      <c r="D54" t="s">
        <v>4</v>
      </c>
      <c r="E54" t="s">
        <v>5</v>
      </c>
      <c r="F54" t="s">
        <v>6</v>
      </c>
      <c r="G54" t="s">
        <v>85</v>
      </c>
    </row>
    <row r="55" spans="1:11" x14ac:dyDescent="0.25">
      <c r="B55">
        <v>2007</v>
      </c>
      <c r="C55">
        <v>0.30486152919927789</v>
      </c>
      <c r="D55">
        <v>0.17600569208034586</v>
      </c>
      <c r="E55">
        <v>0.19731952274095557</v>
      </c>
      <c r="F55">
        <v>0.16881123091237468</v>
      </c>
      <c r="G55">
        <v>0.1530020250670461</v>
      </c>
    </row>
    <row r="56" spans="1:11" x14ac:dyDescent="0.25">
      <c r="B56">
        <v>2012</v>
      </c>
      <c r="C56">
        <v>0.30726011541158704</v>
      </c>
      <c r="D56">
        <v>0.15770905224178744</v>
      </c>
      <c r="E56">
        <v>0.19198008963045826</v>
      </c>
      <c r="F56">
        <v>0.14637549440986436</v>
      </c>
      <c r="G56">
        <v>0.19667524830630284</v>
      </c>
    </row>
    <row r="57" spans="1:11" x14ac:dyDescent="0.25">
      <c r="B57">
        <v>2013</v>
      </c>
      <c r="C57">
        <v>0.29554834068492858</v>
      </c>
      <c r="D57">
        <v>0.16051719894742822</v>
      </c>
      <c r="E57">
        <v>0.17515452549079008</v>
      </c>
      <c r="F57">
        <v>0.16241622967268046</v>
      </c>
      <c r="G57">
        <v>0.20636370520417258</v>
      </c>
    </row>
    <row r="58" spans="1:11" x14ac:dyDescent="0.25">
      <c r="B58">
        <v>2014</v>
      </c>
      <c r="C58">
        <v>0.28456811057163417</v>
      </c>
      <c r="D58">
        <v>0.16371871207725922</v>
      </c>
      <c r="E58">
        <v>0.17735465140323717</v>
      </c>
      <c r="F58">
        <v>0.16583381878380185</v>
      </c>
      <c r="G58">
        <v>0.20852470716406751</v>
      </c>
    </row>
    <row r="59" spans="1:11" x14ac:dyDescent="0.25">
      <c r="B59">
        <v>2015</v>
      </c>
      <c r="C59">
        <v>0.27563972750321974</v>
      </c>
      <c r="D59">
        <v>0.18361246856763269</v>
      </c>
      <c r="E59">
        <v>0.18222846080052596</v>
      </c>
      <c r="F59">
        <v>0.14806337274361039</v>
      </c>
      <c r="G59">
        <v>0.21045597038501129</v>
      </c>
    </row>
    <row r="60" spans="1:11" x14ac:dyDescent="0.25">
      <c r="B60">
        <v>2016</v>
      </c>
      <c r="C60">
        <v>0.27909493496351323</v>
      </c>
      <c r="D60">
        <v>0.16785160604087351</v>
      </c>
      <c r="E60">
        <v>0.18381005128300185</v>
      </c>
      <c r="F60">
        <v>0.15230449079663624</v>
      </c>
      <c r="G60">
        <v>0.21693891691597517</v>
      </c>
    </row>
    <row r="65" spans="2:9" x14ac:dyDescent="0.25">
      <c r="I65" s="98"/>
    </row>
    <row r="66" spans="2:9" x14ac:dyDescent="0.25">
      <c r="I66" s="99"/>
    </row>
    <row r="67" spans="2:9" x14ac:dyDescent="0.25">
      <c r="I67" s="99"/>
    </row>
    <row r="68" spans="2:9" x14ac:dyDescent="0.25">
      <c r="I68" s="99"/>
    </row>
    <row r="69" spans="2:9" x14ac:dyDescent="0.25">
      <c r="I69" s="99"/>
    </row>
    <row r="70" spans="2:9" x14ac:dyDescent="0.25">
      <c r="I70" s="99"/>
    </row>
    <row r="71" spans="2:9" x14ac:dyDescent="0.25">
      <c r="I71" s="99"/>
    </row>
    <row r="72" spans="2:9" x14ac:dyDescent="0.25">
      <c r="I72" s="99"/>
    </row>
    <row r="75" spans="2:9" x14ac:dyDescent="0.25">
      <c r="B75" s="168"/>
      <c r="C75" s="168"/>
    </row>
    <row r="76" spans="2:9" x14ac:dyDescent="0.25">
      <c r="B76" t="s">
        <v>68</v>
      </c>
    </row>
    <row r="77" spans="2:9" x14ac:dyDescent="0.25">
      <c r="B77" t="s">
        <v>7</v>
      </c>
      <c r="C77">
        <v>2007</v>
      </c>
      <c r="D77">
        <v>2012</v>
      </c>
      <c r="E77">
        <v>2013</v>
      </c>
      <c r="F77">
        <v>2014</v>
      </c>
      <c r="G77">
        <v>2015</v>
      </c>
      <c r="H77">
        <v>2016</v>
      </c>
    </row>
    <row r="78" spans="2:9" x14ac:dyDescent="0.25">
      <c r="B78" t="s">
        <v>8</v>
      </c>
      <c r="C78">
        <v>9.0855727655848262E-2</v>
      </c>
      <c r="D78">
        <v>6.9337475694406639E-2</v>
      </c>
      <c r="E78">
        <v>6.714641349412194E-2</v>
      </c>
      <c r="F78">
        <v>5.9806709969242332E-2</v>
      </c>
      <c r="G78">
        <v>5.9725258257469396E-2</v>
      </c>
      <c r="H78">
        <v>6.4146623502121525E-2</v>
      </c>
    </row>
    <row r="79" spans="2:9" x14ac:dyDescent="0.25">
      <c r="B79" t="s">
        <v>9</v>
      </c>
      <c r="C79">
        <v>0.25728066334628691</v>
      </c>
      <c r="D79">
        <v>0.30841761082807434</v>
      </c>
      <c r="E79">
        <v>0.30092478655131255</v>
      </c>
      <c r="F79">
        <v>0.31169346786514834</v>
      </c>
      <c r="G79">
        <v>0.29596936667758306</v>
      </c>
      <c r="H79">
        <v>0.29831621196356178</v>
      </c>
    </row>
    <row r="80" spans="2:9" x14ac:dyDescent="0.25">
      <c r="B80" t="s">
        <v>10</v>
      </c>
      <c r="C80">
        <v>0.21685731487056034</v>
      </c>
      <c r="D80">
        <v>0.20248807200369806</v>
      </c>
      <c r="E80">
        <v>0.21564115063513989</v>
      </c>
      <c r="F80">
        <v>0.21285181373354145</v>
      </c>
      <c r="G80">
        <v>0.21509864526932027</v>
      </c>
      <c r="H80">
        <v>0.2064158210262628</v>
      </c>
    </row>
    <row r="81" spans="2:8" x14ac:dyDescent="0.25">
      <c r="B81" t="s">
        <v>11</v>
      </c>
      <c r="C81">
        <v>0.18332329921733942</v>
      </c>
      <c r="D81">
        <v>0.16502215414845622</v>
      </c>
      <c r="E81">
        <v>0.16719634439543399</v>
      </c>
      <c r="F81">
        <v>0.15565531086751278</v>
      </c>
      <c r="G81">
        <v>0.15837978515478088</v>
      </c>
      <c r="H81">
        <v>0.15658348145075518</v>
      </c>
    </row>
    <row r="82" spans="2:8" x14ac:dyDescent="0.25">
      <c r="B82" t="s">
        <v>12</v>
      </c>
      <c r="C82">
        <v>0.11882901866345622</v>
      </c>
      <c r="D82">
        <v>0.12272830963424827</v>
      </c>
      <c r="E82">
        <v>0.12231769305037592</v>
      </c>
      <c r="F82">
        <v>0.13068523549172686</v>
      </c>
      <c r="G82">
        <v>0.13079683437153206</v>
      </c>
      <c r="H82">
        <v>0.12873238522734359</v>
      </c>
    </row>
    <row r="83" spans="2:8" x14ac:dyDescent="0.25">
      <c r="B83" t="s">
        <v>13</v>
      </c>
      <c r="C83">
        <v>6.7434732636418512E-2</v>
      </c>
      <c r="D83">
        <v>6.7944618853295002E-2</v>
      </c>
      <c r="E83">
        <v>6.8226672093595647E-2</v>
      </c>
      <c r="F83">
        <v>7.0872617403192506E-2</v>
      </c>
      <c r="G83">
        <v>7.7047342091772636E-2</v>
      </c>
      <c r="H83">
        <v>7.9796860914844267E-2</v>
      </c>
    </row>
    <row r="84" spans="2:8" x14ac:dyDescent="0.25">
      <c r="B84" t="s">
        <v>14</v>
      </c>
      <c r="C84">
        <v>6.5419243610092659E-2</v>
      </c>
      <c r="D84">
        <v>6.4061758837821489E-2</v>
      </c>
      <c r="E84">
        <v>5.8546939780020096E-2</v>
      </c>
      <c r="F84">
        <v>5.8434844669635694E-2</v>
      </c>
      <c r="G84">
        <v>6.2982768177541781E-2</v>
      </c>
      <c r="H84">
        <v>6.6008615915110772E-2</v>
      </c>
    </row>
    <row r="96" spans="2:8" x14ac:dyDescent="0.25">
      <c r="B96" s="168"/>
      <c r="C96" s="168"/>
    </row>
    <row r="99" spans="2:8" x14ac:dyDescent="0.25">
      <c r="B99" t="s">
        <v>82</v>
      </c>
    </row>
    <row r="100" spans="2:8" x14ac:dyDescent="0.25">
      <c r="C100">
        <v>2007</v>
      </c>
      <c r="D100">
        <v>2012</v>
      </c>
      <c r="E100">
        <v>2013</v>
      </c>
      <c r="F100">
        <v>2014</v>
      </c>
      <c r="G100">
        <v>2015</v>
      </c>
      <c r="H100">
        <v>2016</v>
      </c>
    </row>
    <row r="101" spans="2:8" x14ac:dyDescent="0.25">
      <c r="B101" t="s">
        <v>16</v>
      </c>
      <c r="C101">
        <v>0.11523330368969946</v>
      </c>
      <c r="D101">
        <v>0.13325165197930081</v>
      </c>
      <c r="E101">
        <v>0.14261532512015951</v>
      </c>
      <c r="F101">
        <v>0.14609926437984669</v>
      </c>
      <c r="G101">
        <v>0.14926812004068962</v>
      </c>
      <c r="H101">
        <v>0.15022514872963499</v>
      </c>
    </row>
    <row r="102" spans="2:8" x14ac:dyDescent="0.25">
      <c r="B102" t="s">
        <v>17</v>
      </c>
      <c r="C102">
        <v>0.35651092357539577</v>
      </c>
      <c r="D102">
        <v>0.33182677441748937</v>
      </c>
      <c r="E102">
        <v>0.3186608474669908</v>
      </c>
      <c r="F102">
        <v>0.31791293646996482</v>
      </c>
      <c r="G102">
        <v>0.3036560886137652</v>
      </c>
      <c r="H102">
        <v>0.30849429732779698</v>
      </c>
    </row>
    <row r="103" spans="2:8" x14ac:dyDescent="0.25">
      <c r="B103" t="s">
        <v>18</v>
      </c>
      <c r="C103">
        <v>0.34247476663412058</v>
      </c>
      <c r="D103">
        <v>0.33897799186838257</v>
      </c>
      <c r="E103">
        <v>0.34931771725318977</v>
      </c>
      <c r="F103">
        <v>0.34487983630015578</v>
      </c>
      <c r="G103">
        <v>0.35524648770356981</v>
      </c>
      <c r="H103">
        <v>0.34680573663624537</v>
      </c>
    </row>
    <row r="104" spans="2:8" x14ac:dyDescent="0.25">
      <c r="B104" t="s">
        <v>19</v>
      </c>
      <c r="C104">
        <v>0.18578100610078416</v>
      </c>
      <c r="D104">
        <v>0.1959435817348272</v>
      </c>
      <c r="E104">
        <v>0.18940611015965994</v>
      </c>
      <c r="F104">
        <v>0.19110796285003268</v>
      </c>
      <c r="G104">
        <v>0.19182930364197548</v>
      </c>
      <c r="H104">
        <v>0.19447481730632266</v>
      </c>
    </row>
    <row r="123" spans="2:8" x14ac:dyDescent="0.25">
      <c r="B123" s="100" t="s">
        <v>100</v>
      </c>
    </row>
    <row r="124" spans="2:8" x14ac:dyDescent="0.25">
      <c r="B124" t="s">
        <v>3</v>
      </c>
      <c r="C124">
        <v>2007</v>
      </c>
      <c r="D124">
        <v>2012</v>
      </c>
      <c r="E124">
        <v>2013</v>
      </c>
      <c r="F124">
        <v>2014</v>
      </c>
      <c r="G124">
        <v>2015</v>
      </c>
      <c r="H124">
        <v>2016</v>
      </c>
    </row>
    <row r="125" spans="2:8" x14ac:dyDescent="0.25">
      <c r="B125" t="s">
        <v>22</v>
      </c>
      <c r="C125">
        <v>0.11289692780682659</v>
      </c>
      <c r="D125">
        <v>0.10740113682341551</v>
      </c>
      <c r="E125">
        <v>0.10233477989334955</v>
      </c>
      <c r="F125">
        <v>0.12865613632966263</v>
      </c>
      <c r="G125">
        <v>9.8410552654116731E-2</v>
      </c>
      <c r="H125">
        <v>0.12521899416292351</v>
      </c>
    </row>
    <row r="126" spans="2:8" x14ac:dyDescent="0.25">
      <c r="B126" t="s">
        <v>23</v>
      </c>
      <c r="C126">
        <v>0.13609209847175788</v>
      </c>
      <c r="D126">
        <v>0.11336808488072031</v>
      </c>
      <c r="E126">
        <v>0.11003330824539211</v>
      </c>
      <c r="F126">
        <v>0.11164399488431581</v>
      </c>
      <c r="G126">
        <v>0.11035029975314446</v>
      </c>
      <c r="H126">
        <v>0.13167880302564824</v>
      </c>
    </row>
    <row r="127" spans="2:8" x14ac:dyDescent="0.25">
      <c r="B127" t="s">
        <v>24</v>
      </c>
      <c r="C127">
        <v>0.75101097372141556</v>
      </c>
      <c r="D127">
        <v>0.77923077829586407</v>
      </c>
      <c r="E127">
        <v>0.78763191186125836</v>
      </c>
      <c r="F127">
        <v>0.75969986878602158</v>
      </c>
      <c r="G127">
        <v>0.79123914759273872</v>
      </c>
      <c r="H127">
        <v>0.74310220281142836</v>
      </c>
    </row>
    <row r="129" spans="2:8" x14ac:dyDescent="0.25">
      <c r="B129" t="s">
        <v>4</v>
      </c>
      <c r="C129">
        <v>2007</v>
      </c>
      <c r="D129">
        <v>2012</v>
      </c>
      <c r="E129">
        <v>2013</v>
      </c>
      <c r="F129">
        <v>2014</v>
      </c>
      <c r="G129">
        <v>2015</v>
      </c>
      <c r="H129">
        <v>2016</v>
      </c>
    </row>
    <row r="130" spans="2:8" x14ac:dyDescent="0.25">
      <c r="B130" t="s">
        <v>22</v>
      </c>
      <c r="C130">
        <v>0.18006405871011871</v>
      </c>
      <c r="D130">
        <v>0.15484754790914099</v>
      </c>
      <c r="E130">
        <v>0.15968864252860016</v>
      </c>
      <c r="F130">
        <v>0.14955179929846835</v>
      </c>
      <c r="G130">
        <v>0.15292745950715322</v>
      </c>
      <c r="H130">
        <v>0.16289648983536392</v>
      </c>
    </row>
    <row r="131" spans="2:8" x14ac:dyDescent="0.25">
      <c r="B131" t="s">
        <v>23</v>
      </c>
      <c r="C131">
        <v>0.53241806082467824</v>
      </c>
      <c r="D131">
        <v>0.47559388967121791</v>
      </c>
      <c r="E131">
        <v>0.51138105908715614</v>
      </c>
      <c r="F131">
        <v>0.46048472075869362</v>
      </c>
      <c r="G131">
        <v>0.5101531480431083</v>
      </c>
      <c r="H131">
        <v>0.49067752735305292</v>
      </c>
    </row>
    <row r="132" spans="2:8" x14ac:dyDescent="0.25">
      <c r="B132" t="s">
        <v>24</v>
      </c>
      <c r="C132">
        <v>0.28751788046520305</v>
      </c>
      <c r="D132">
        <v>0.36955856241964119</v>
      </c>
      <c r="E132">
        <v>0.32893029838424365</v>
      </c>
      <c r="F132">
        <v>0.38996347994283798</v>
      </c>
      <c r="G132">
        <v>0.33691939244973862</v>
      </c>
      <c r="H132">
        <v>0.34642598281158321</v>
      </c>
    </row>
    <row r="134" spans="2:8" x14ac:dyDescent="0.25">
      <c r="B134" t="s">
        <v>5</v>
      </c>
      <c r="C134">
        <v>2007</v>
      </c>
      <c r="D134">
        <v>2012</v>
      </c>
      <c r="E134">
        <v>2013</v>
      </c>
      <c r="F134">
        <v>2014</v>
      </c>
      <c r="G134">
        <v>2015</v>
      </c>
      <c r="H134">
        <v>2016</v>
      </c>
    </row>
    <row r="135" spans="2:8" x14ac:dyDescent="0.25">
      <c r="B135" t="s">
        <v>22</v>
      </c>
      <c r="C135">
        <v>0.57782801350817214</v>
      </c>
      <c r="D135">
        <v>0.51703152309220535</v>
      </c>
      <c r="E135">
        <v>0.54154760698483484</v>
      </c>
      <c r="F135">
        <v>0.48065212466854124</v>
      </c>
      <c r="G135">
        <v>0.51851734254543602</v>
      </c>
      <c r="H135">
        <v>0.54463621578688526</v>
      </c>
    </row>
    <row r="136" spans="2:8" x14ac:dyDescent="0.25">
      <c r="B136" t="s">
        <v>23</v>
      </c>
      <c r="C136">
        <v>0.36422830752588259</v>
      </c>
      <c r="D136">
        <v>0.40802726049617127</v>
      </c>
      <c r="E136">
        <v>0.39063059411625622</v>
      </c>
      <c r="F136">
        <v>0.43403467160579345</v>
      </c>
      <c r="G136">
        <v>0.3878799039841499</v>
      </c>
      <c r="H136">
        <v>0.37119101350243999</v>
      </c>
    </row>
    <row r="137" spans="2:8" x14ac:dyDescent="0.25">
      <c r="B137" t="s">
        <v>24</v>
      </c>
      <c r="C137">
        <v>5.794367896594519E-2</v>
      </c>
      <c r="D137">
        <v>7.4941216411623421E-2</v>
      </c>
      <c r="E137">
        <v>6.7821798898909005E-2</v>
      </c>
      <c r="F137">
        <v>8.531320372566524E-2</v>
      </c>
      <c r="G137">
        <v>9.3602753470414149E-2</v>
      </c>
      <c r="H137">
        <v>8.417277071067468E-2</v>
      </c>
    </row>
    <row r="139" spans="2:8" x14ac:dyDescent="0.25">
      <c r="B139" t="s">
        <v>6</v>
      </c>
      <c r="C139">
        <v>2007</v>
      </c>
      <c r="D139">
        <v>2012</v>
      </c>
      <c r="E139">
        <v>2013</v>
      </c>
      <c r="F139">
        <v>2014</v>
      </c>
      <c r="G139">
        <v>2015</v>
      </c>
      <c r="H139">
        <v>2016</v>
      </c>
    </row>
    <row r="140" spans="2:8" x14ac:dyDescent="0.25">
      <c r="B140" t="s">
        <v>22</v>
      </c>
      <c r="C140">
        <v>0.88381668747061759</v>
      </c>
      <c r="D140">
        <v>0.83892672790540423</v>
      </c>
      <c r="E140">
        <v>0.82031631322439913</v>
      </c>
      <c r="F140">
        <v>0.78450806589522903</v>
      </c>
      <c r="G140">
        <v>0.80127393513091061</v>
      </c>
      <c r="H140">
        <v>0.81837546691822571</v>
      </c>
    </row>
    <row r="141" spans="2:8" x14ac:dyDescent="0.25">
      <c r="B141" t="s">
        <v>23</v>
      </c>
      <c r="C141">
        <v>0.10585698769594905</v>
      </c>
      <c r="D141">
        <v>0.14642050233355869</v>
      </c>
      <c r="E141">
        <v>0.1662866342728509</v>
      </c>
      <c r="F141">
        <v>0.19516331300233694</v>
      </c>
      <c r="G141">
        <v>0.18669792887846814</v>
      </c>
      <c r="H141">
        <v>0.16041446362412204</v>
      </c>
    </row>
    <row r="142" spans="2:8" x14ac:dyDescent="0.25">
      <c r="B142" t="s">
        <v>24</v>
      </c>
      <c r="C142">
        <v>1.0326324833433313E-2</v>
      </c>
      <c r="D142">
        <v>1.4652769761036993E-2</v>
      </c>
      <c r="E142">
        <v>1.3397052502750069E-2</v>
      </c>
      <c r="F142">
        <v>2.0328621102434011E-2</v>
      </c>
      <c r="G142">
        <v>1.2028135990621334E-2</v>
      </c>
      <c r="H142">
        <v>2.1210069457652105E-2</v>
      </c>
    </row>
    <row r="144" spans="2:8" x14ac:dyDescent="0.25">
      <c r="B144" t="s">
        <v>85</v>
      </c>
      <c r="C144">
        <v>2007</v>
      </c>
      <c r="D144">
        <v>2012</v>
      </c>
      <c r="E144">
        <v>2013</v>
      </c>
      <c r="F144">
        <v>2014</v>
      </c>
      <c r="G144">
        <v>2015</v>
      </c>
      <c r="H144">
        <v>2016</v>
      </c>
    </row>
    <row r="145" spans="2:8" x14ac:dyDescent="0.25">
      <c r="B145" t="s">
        <v>22</v>
      </c>
      <c r="C145">
        <v>0.97308173850831692</v>
      </c>
      <c r="D145">
        <v>0.95116233399612149</v>
      </c>
      <c r="E145">
        <v>0.96188909020021562</v>
      </c>
      <c r="F145">
        <v>0.96104786567916911</v>
      </c>
      <c r="G145">
        <v>0.95746891959508873</v>
      </c>
      <c r="H145">
        <v>0.96414036212145493</v>
      </c>
    </row>
    <row r="146" spans="2:8" x14ac:dyDescent="0.25">
      <c r="B146" t="s">
        <v>23</v>
      </c>
      <c r="C146">
        <v>2.6918261491683061E-2</v>
      </c>
      <c r="D146">
        <v>4.8426491886982358E-2</v>
      </c>
      <c r="E146">
        <v>3.7440084397862498E-2</v>
      </c>
      <c r="F146">
        <v>3.7161492126274266E-2</v>
      </c>
      <c r="G146">
        <v>4.2531080404911256E-2</v>
      </c>
      <c r="H146">
        <v>3.5475084121134426E-2</v>
      </c>
    </row>
    <row r="147" spans="2:8" x14ac:dyDescent="0.25">
      <c r="B147" t="s">
        <v>24</v>
      </c>
      <c r="C147">
        <v>0</v>
      </c>
      <c r="D147">
        <v>4.1117411689618776E-4</v>
      </c>
      <c r="E147">
        <v>6.7082540192188542E-4</v>
      </c>
      <c r="F147">
        <v>1.7906421945566738E-3</v>
      </c>
      <c r="G147">
        <v>0</v>
      </c>
      <c r="H147">
        <v>3.8455375741067123E-4</v>
      </c>
    </row>
    <row r="155" spans="2:8" x14ac:dyDescent="0.25">
      <c r="B155" t="s">
        <v>69</v>
      </c>
    </row>
    <row r="156" spans="2:8" x14ac:dyDescent="0.25">
      <c r="B156" t="s">
        <v>79</v>
      </c>
    </row>
    <row r="157" spans="2:8" x14ac:dyDescent="0.25">
      <c r="C157" t="s">
        <v>25</v>
      </c>
      <c r="D157" t="s">
        <v>83</v>
      </c>
      <c r="E157" t="s">
        <v>84</v>
      </c>
      <c r="F157" t="s">
        <v>26</v>
      </c>
      <c r="G157" t="s">
        <v>29</v>
      </c>
    </row>
    <row r="158" spans="2:8" x14ac:dyDescent="0.25">
      <c r="B158">
        <v>2007</v>
      </c>
      <c r="C158">
        <v>297588</v>
      </c>
      <c r="D158">
        <v>0</v>
      </c>
      <c r="E158">
        <v>0</v>
      </c>
      <c r="F158">
        <v>454861</v>
      </c>
      <c r="G158">
        <v>157273</v>
      </c>
    </row>
    <row r="159" spans="2:8" x14ac:dyDescent="0.25">
      <c r="B159">
        <v>2012</v>
      </c>
      <c r="C159">
        <v>346898</v>
      </c>
      <c r="D159">
        <v>0</v>
      </c>
      <c r="E159">
        <v>0</v>
      </c>
      <c r="F159">
        <v>523111</v>
      </c>
      <c r="G159">
        <v>176213</v>
      </c>
    </row>
    <row r="160" spans="2:8" x14ac:dyDescent="0.25">
      <c r="B160">
        <v>2013</v>
      </c>
      <c r="C160">
        <v>352489</v>
      </c>
      <c r="D160">
        <v>0</v>
      </c>
      <c r="E160">
        <v>0</v>
      </c>
      <c r="F160">
        <v>520787</v>
      </c>
      <c r="G160">
        <v>168298</v>
      </c>
    </row>
    <row r="161" spans="2:7" x14ac:dyDescent="0.25">
      <c r="B161">
        <v>2014</v>
      </c>
      <c r="C161">
        <v>334767</v>
      </c>
      <c r="D161">
        <v>0</v>
      </c>
      <c r="E161">
        <v>0</v>
      </c>
      <c r="F161">
        <v>511085</v>
      </c>
      <c r="G161">
        <v>176318</v>
      </c>
    </row>
    <row r="162" spans="2:7" x14ac:dyDescent="0.25">
      <c r="B162">
        <v>2015</v>
      </c>
      <c r="C162">
        <v>325819</v>
      </c>
      <c r="D162">
        <v>0</v>
      </c>
      <c r="E162">
        <v>0</v>
      </c>
      <c r="F162">
        <v>513667</v>
      </c>
      <c r="G162">
        <v>187848</v>
      </c>
    </row>
    <row r="163" spans="2:7" x14ac:dyDescent="0.25">
      <c r="B163">
        <v>2016</v>
      </c>
      <c r="C163">
        <v>316029</v>
      </c>
      <c r="D163">
        <v>0</v>
      </c>
      <c r="E163">
        <v>0</v>
      </c>
      <c r="F163">
        <v>497823</v>
      </c>
      <c r="G163">
        <v>181794</v>
      </c>
    </row>
    <row r="179" spans="2:7" x14ac:dyDescent="0.25">
      <c r="B179" t="s">
        <v>101</v>
      </c>
    </row>
    <row r="180" spans="2:7" x14ac:dyDescent="0.25">
      <c r="B180" t="s">
        <v>86</v>
      </c>
      <c r="C180" t="s">
        <v>25</v>
      </c>
      <c r="F180" t="s">
        <v>26</v>
      </c>
      <c r="G180" t="s">
        <v>29</v>
      </c>
    </row>
    <row r="181" spans="2:7" x14ac:dyDescent="0.25">
      <c r="B181">
        <v>2012</v>
      </c>
      <c r="C181">
        <v>91526</v>
      </c>
      <c r="F181">
        <v>157100</v>
      </c>
      <c r="G181">
        <v>65574</v>
      </c>
    </row>
    <row r="182" spans="2:7" x14ac:dyDescent="0.25">
      <c r="B182">
        <v>2013</v>
      </c>
      <c r="C182">
        <v>93250</v>
      </c>
      <c r="F182">
        <v>153433</v>
      </c>
      <c r="G182">
        <v>60183</v>
      </c>
    </row>
    <row r="183" spans="2:7" x14ac:dyDescent="0.25">
      <c r="B183">
        <v>2014</v>
      </c>
      <c r="C183">
        <v>91526</v>
      </c>
      <c r="F183">
        <v>154713</v>
      </c>
      <c r="G183">
        <v>63187</v>
      </c>
    </row>
    <row r="184" spans="2:7" x14ac:dyDescent="0.25">
      <c r="B184">
        <v>2015</v>
      </c>
      <c r="C184">
        <v>88725</v>
      </c>
      <c r="F184">
        <v>158929</v>
      </c>
      <c r="G184">
        <v>70204</v>
      </c>
    </row>
    <row r="185" spans="2:7" x14ac:dyDescent="0.25">
      <c r="B185">
        <v>2016</v>
      </c>
      <c r="C185">
        <v>87159</v>
      </c>
      <c r="F185">
        <v>149551</v>
      </c>
      <c r="G185">
        <v>62392</v>
      </c>
    </row>
    <row r="186" spans="2:7" x14ac:dyDescent="0.25">
      <c r="B186" t="s">
        <v>87</v>
      </c>
    </row>
    <row r="196" spans="2:7" x14ac:dyDescent="0.25">
      <c r="B196" t="s">
        <v>87</v>
      </c>
    </row>
    <row r="202" spans="2:7" x14ac:dyDescent="0.25">
      <c r="B202" t="s">
        <v>102</v>
      </c>
    </row>
    <row r="203" spans="2:7" x14ac:dyDescent="0.25">
      <c r="B203" t="s">
        <v>86</v>
      </c>
      <c r="C203" t="s">
        <v>25</v>
      </c>
      <c r="D203" t="s">
        <v>83</v>
      </c>
      <c r="E203" t="s">
        <v>84</v>
      </c>
      <c r="F203" t="s">
        <v>26</v>
      </c>
      <c r="G203" t="s">
        <v>29</v>
      </c>
    </row>
    <row r="204" spans="2:7" x14ac:dyDescent="0.25">
      <c r="B204">
        <v>2012</v>
      </c>
      <c r="C204">
        <v>255372</v>
      </c>
      <c r="D204">
        <v>0</v>
      </c>
      <c r="E204">
        <v>0</v>
      </c>
      <c r="F204">
        <v>366011</v>
      </c>
      <c r="G204">
        <v>110639</v>
      </c>
    </row>
    <row r="205" spans="2:7" x14ac:dyDescent="0.25">
      <c r="B205">
        <v>2013</v>
      </c>
      <c r="C205">
        <v>259239</v>
      </c>
      <c r="D205">
        <v>0</v>
      </c>
      <c r="E205">
        <v>0</v>
      </c>
      <c r="F205">
        <v>367354</v>
      </c>
      <c r="G205">
        <v>108115</v>
      </c>
    </row>
    <row r="206" spans="2:7" x14ac:dyDescent="0.25">
      <c r="B206">
        <v>2014</v>
      </c>
      <c r="C206">
        <v>243241</v>
      </c>
      <c r="D206">
        <v>0</v>
      </c>
      <c r="E206">
        <v>0</v>
      </c>
      <c r="F206">
        <v>356372</v>
      </c>
      <c r="G206">
        <v>113131</v>
      </c>
    </row>
    <row r="207" spans="2:7" x14ac:dyDescent="0.25">
      <c r="B207">
        <v>2015</v>
      </c>
      <c r="C207">
        <v>237094</v>
      </c>
      <c r="D207">
        <v>0</v>
      </c>
      <c r="E207">
        <v>0</v>
      </c>
      <c r="F207">
        <v>354738</v>
      </c>
      <c r="G207">
        <v>117644</v>
      </c>
    </row>
    <row r="208" spans="2:7" x14ac:dyDescent="0.25">
      <c r="B208">
        <v>2016</v>
      </c>
      <c r="C208">
        <v>228870</v>
      </c>
      <c r="D208">
        <v>0</v>
      </c>
      <c r="E208">
        <v>0</v>
      </c>
      <c r="F208">
        <v>348272</v>
      </c>
      <c r="G208">
        <v>119402</v>
      </c>
    </row>
  </sheetData>
  <mergeCells count="12">
    <mergeCell ref="B75:C75"/>
    <mergeCell ref="B96:C96"/>
    <mergeCell ref="B53:D53"/>
    <mergeCell ref="B7:D7"/>
    <mergeCell ref="B10:D10"/>
    <mergeCell ref="B11:E11"/>
    <mergeCell ref="B27:D27"/>
    <mergeCell ref="B29:D29"/>
    <mergeCell ref="B38:D38"/>
    <mergeCell ref="B41:H41"/>
    <mergeCell ref="B51:D51"/>
    <mergeCell ref="B30:G30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IHS_SOR_2017</vt:lpstr>
      <vt:lpstr>ChartsWorksheet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DePaul University</dc:creator>
  <cp:lastModifiedBy>Holland, Will</cp:lastModifiedBy>
  <dcterms:created xsi:type="dcterms:W3CDTF">2016-04-11T21:20:54Z</dcterms:created>
  <dcterms:modified xsi:type="dcterms:W3CDTF">2018-03-02T19:40:12Z</dcterms:modified>
</cp:coreProperties>
</file>